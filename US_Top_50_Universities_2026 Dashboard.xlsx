
<file path=[Content_Types].xml><?xml version="1.0" encoding="utf-8"?>
<Types xmlns="http://schemas.openxmlformats.org/package/2006/content-type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NTO\Downloads\all New excel Raw data for work\US_Top_50_Universities_2026\"/>
    </mc:Choice>
  </mc:AlternateContent>
  <bookViews>
    <workbookView xWindow="0" yWindow="0" windowWidth="19200" windowHeight="8290" activeTab="1"/>
  </bookViews>
  <sheets>
    <sheet name="Kpi" sheetId="1" r:id="rId1"/>
    <sheet name="Dashboard" sheetId="3" r:id="rId2"/>
    <sheet name="Cleaned_dataset" sheetId="2" r:id="rId3"/>
  </sheets>
  <definedNames>
    <definedName name="_xlchart.0" hidden="1">Kpi!$H$50:$H$56</definedName>
    <definedName name="_xlchart.1" hidden="1">Kpi!$I$50:$I$56</definedName>
    <definedName name="_xlchart.10" hidden="1">Kpi!$H$62:$H$68</definedName>
    <definedName name="_xlchart.11" hidden="1">Kpi!$I$62:$I$68</definedName>
    <definedName name="_xlchart.12" hidden="1">Kpi!$H$50:$H$56</definedName>
    <definedName name="_xlchart.13" hidden="1">Kpi!$I$50:$I$56</definedName>
    <definedName name="_xlchart.2" hidden="1">Kpi!$H$62:$H$68</definedName>
    <definedName name="_xlchart.3" hidden="1">Kpi!$I$62:$I$68</definedName>
    <definedName name="_xlchart.4" hidden="1">Kpi!$H$38:$H$44</definedName>
    <definedName name="_xlchart.5" hidden="1">Kpi!$I$38:$I$44</definedName>
    <definedName name="_xlchart.6" hidden="1">Kpi!$H$38:$H$44</definedName>
    <definedName name="_xlchart.7" hidden="1">Kpi!$I$38:$I$44</definedName>
    <definedName name="_xlchart.8" hidden="1">Kpi!$H$38:$H$44</definedName>
    <definedName name="_xlchart.9" hidden="1">Kpi!$I$38:$I$44</definedName>
    <definedName name="ExternalData_1" localSheetId="2" hidden="1">Cleaned_dataset!$A$1:$H$51</definedName>
    <definedName name="Slicer_Institution_Type">#N/A</definedName>
    <definedName name="Slicer_State">#N/A</definedName>
  </definedNames>
  <calcPr calcId="162913"/>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1" l="1"/>
  <c r="B12" i="1"/>
  <c r="B7" i="1"/>
  <c r="I63" i="1"/>
  <c r="I64" i="1"/>
  <c r="I65" i="1"/>
  <c r="I66" i="1"/>
  <c r="I67" i="1"/>
  <c r="I68" i="1"/>
  <c r="I62" i="1"/>
  <c r="I51" i="1"/>
  <c r="I53" i="1"/>
  <c r="I54" i="1"/>
  <c r="I55" i="1"/>
  <c r="I56" i="1"/>
  <c r="I52" i="1"/>
  <c r="I50" i="1"/>
  <c r="I39" i="1"/>
  <c r="I40" i="1"/>
  <c r="I41" i="1"/>
  <c r="I42" i="1"/>
  <c r="I43" i="1"/>
  <c r="I44" i="1"/>
  <c r="I38" i="1"/>
</calcChain>
</file>

<file path=xl/connections.xml><?xml version="1.0" encoding="utf-8"?>
<connections xmlns="http://schemas.openxmlformats.org/spreadsheetml/2006/main">
  <connection id="1" keepAlive="1" name="Query - US_Top_50_Universities_2026" description="Connection to the 'US_Top_50_Universities_2026' query in the workbook." type="5" refreshedVersion="6" background="1" saveData="1">
    <dbPr connection="Provider=Microsoft.Mashup.OleDb.1;Data Source=$Workbook$;Location=US_Top_50_Universities_2026;Extended Properties=&quot;&quot;" command="SELECT * FROM [US_Top_50_Universities_2026]"/>
  </connection>
</connections>
</file>

<file path=xl/sharedStrings.xml><?xml version="1.0" encoding="utf-8"?>
<sst xmlns="http://schemas.openxmlformats.org/spreadsheetml/2006/main" count="253" uniqueCount="91">
  <si>
    <t>University_Name</t>
  </si>
  <si>
    <t>National_Rank</t>
  </si>
  <si>
    <t>Founded_Year</t>
  </si>
  <si>
    <t>Institution_Type</t>
  </si>
  <si>
    <t>State</t>
  </si>
  <si>
    <t>Research_Impact_Score</t>
  </si>
  <si>
    <t>Intl_Student_Ratio</t>
  </si>
  <si>
    <t>Employment_Rate</t>
  </si>
  <si>
    <t>Amherst College</t>
  </si>
  <si>
    <t>Private</t>
  </si>
  <si>
    <t>MA</t>
  </si>
  <si>
    <t>Boston University</t>
  </si>
  <si>
    <t>Bowdoin College</t>
  </si>
  <si>
    <t>ME</t>
  </si>
  <si>
    <t>Brigham Young University</t>
  </si>
  <si>
    <t>UT</t>
  </si>
  <si>
    <t>Brown University</t>
  </si>
  <si>
    <t>RI</t>
  </si>
  <si>
    <t>California Institute of Technology (Caltech)</t>
  </si>
  <si>
    <t>CA</t>
  </si>
  <si>
    <t>Carnegie Mellon University</t>
  </si>
  <si>
    <t>PA</t>
  </si>
  <si>
    <t>Claremont McKenna College</t>
  </si>
  <si>
    <t>Colgate University</t>
  </si>
  <si>
    <t>NY</t>
  </si>
  <si>
    <t>Columbia University</t>
  </si>
  <si>
    <t>Cornell University</t>
  </si>
  <si>
    <t>Dartmouth College</t>
  </si>
  <si>
    <t>NH</t>
  </si>
  <si>
    <t>Duke University</t>
  </si>
  <si>
    <t>NC</t>
  </si>
  <si>
    <t>Emory University</t>
  </si>
  <si>
    <t>GA</t>
  </si>
  <si>
    <t>Georgetown University</t>
  </si>
  <si>
    <t>DC</t>
  </si>
  <si>
    <t>Georgia Institute of Technology (Georgia Tech)</t>
  </si>
  <si>
    <t>Public</t>
  </si>
  <si>
    <t>Harvard University</t>
  </si>
  <si>
    <t>Johns Hopkins University</t>
  </si>
  <si>
    <t>MD</t>
  </si>
  <si>
    <t>Massachusetts Institute of Technology (MIT)</t>
  </si>
  <si>
    <t>New York University (NYU)</t>
  </si>
  <si>
    <t>Northwestern University</t>
  </si>
  <si>
    <t>IL</t>
  </si>
  <si>
    <t>Pomona College</t>
  </si>
  <si>
    <t>Princeton University</t>
  </si>
  <si>
    <t>NJ</t>
  </si>
  <si>
    <t>Rice University</t>
  </si>
  <si>
    <t>TX</t>
  </si>
  <si>
    <t>Stanford University</t>
  </si>
  <si>
    <t>Swarthmore College</t>
  </si>
  <si>
    <t>University of California, Berkeley</t>
  </si>
  <si>
    <t>University of California, Davis</t>
  </si>
  <si>
    <t>University of California, Irvine</t>
  </si>
  <si>
    <t>University of California, Los Angeles (UCLA)</t>
  </si>
  <si>
    <t>University of California, San Diego</t>
  </si>
  <si>
    <t>University of California, Santa Barbara</t>
  </si>
  <si>
    <t>University of Chicago</t>
  </si>
  <si>
    <t>University of Florida</t>
  </si>
  <si>
    <t>FL</t>
  </si>
  <si>
    <t>University of Illinois, Urbana-Champaign</t>
  </si>
  <si>
    <t>University of Maryland, College Park</t>
  </si>
  <si>
    <t>University of Michigan, Ann Arbor</t>
  </si>
  <si>
    <t>MI</t>
  </si>
  <si>
    <t>University of North Carolina, Chapel Hill</t>
  </si>
  <si>
    <t>University of Notre Dame</t>
  </si>
  <si>
    <t>IN</t>
  </si>
  <si>
    <t>University of Pennsylvania</t>
  </si>
  <si>
    <t>University of Southern California (USC)</t>
  </si>
  <si>
    <t>University of Texas at Austin</t>
  </si>
  <si>
    <t>University of Virginia</t>
  </si>
  <si>
    <t>VA</t>
  </si>
  <si>
    <t>University of Washington, Seattle</t>
  </si>
  <si>
    <t>WA</t>
  </si>
  <si>
    <t>Vanderbilt University</t>
  </si>
  <si>
    <t>TN</t>
  </si>
  <si>
    <t>Washington University in St. Louis</t>
  </si>
  <si>
    <t>MO</t>
  </si>
  <si>
    <t>Washington and Lee University</t>
  </si>
  <si>
    <t>Wellesley College</t>
  </si>
  <si>
    <t>Williams College</t>
  </si>
  <si>
    <t>Yale University</t>
  </si>
  <si>
    <t>CT</t>
  </si>
  <si>
    <t>Row Labels</t>
  </si>
  <si>
    <t>Grand Total</t>
  </si>
  <si>
    <t>Count of University_Name</t>
  </si>
  <si>
    <t>Sum of Research_Impact_Score</t>
  </si>
  <si>
    <t>Sum of Intl_Student_Ratio</t>
  </si>
  <si>
    <t>Sum of Employment_Rate</t>
  </si>
  <si>
    <t>Sum of Founded_Year</t>
  </si>
  <si>
    <t>Min of National_Rank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</si>
</sst>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applyNumberFormat="1"/>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0" fontId="1" fillId="2" borderId="1" xfId="0" applyFont="1" applyFill="1" applyBorder="1"/>
    <xf numFmtId="0" fontId="0" fillId="3" borderId="0" xfId="0" applyFill="1"/>
  </cellXfs>
  <cellStyles count="1">
    <cellStyle name="Normal" xfId="0" builtinId="0"/>
  </cellStyles>
  <dxfs count="8">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x:chartSpace xmlns:a="http://schemas.openxmlformats.org/drawingml/2006/main" xmlns:r="http://schemas.openxmlformats.org/officeDocument/2006/relationships" xmlns:cx="http://schemas.microsoft.com/office/drawing/2014/chartex">
  <cx:chartData>
    <cx:data id="0">
      <cx:strDim type="cat">
        <cx:f>_xlchart.4</cx:f>
      </cx:strDim>
      <cx:numDim type="size">
        <cx:f>_xlchart.5</cx:f>
      </cx:numDim>
    </cx:data>
  </cx:chartData>
  <cx:chart>
    <cx:title pos="t" align="ctr" overlay="0"/>
    <cx:plotArea>
      <cx:plotAreaRegion>
        <cx:series layoutId="treemap" uniqueId="{016AD667-3B05-4C5F-AAC9-37D01123FDD8}">
          <cx:dataLabels pos="inEnd">
            <cx:visibility seriesName="0" categoryName="1" value="0"/>
          </cx:dataLabels>
          <cx:dataId val="0"/>
          <cx:layoutPr>
            <cx:parentLabelLayout val="overlapping"/>
          </cx:layoutPr>
        </cx:series>
      </cx:plotAreaRegion>
    </cx:plotArea>
  </cx:chart>
</cx: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[US_Top_50_Universities_2026 Dashboard.xlsx]Kpi!PivotTable4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Kpi!$F$3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Kpi!$E$4:$E$7</c:f>
              <c:strCache>
                <c:ptCount val="3"/>
                <c:pt idx="0">
                  <c:v>Princeton University</c:v>
                </c:pt>
                <c:pt idx="1">
                  <c:v>Columbia University</c:v>
                </c:pt>
                <c:pt idx="2">
                  <c:v>Massachusetts Institute of Technology (MIT)</c:v>
                </c:pt>
              </c:strCache>
            </c:strRef>
          </c:cat>
          <c:val>
            <c:numRef>
              <c:f>Kpi!$F$4:$F$7</c:f>
              <c:numCache>
                <c:formatCode>General</c:formatCode>
                <c:ptCount val="3"/>
                <c:pt idx="0">
                  <c:v>3</c:v>
                </c:pt>
                <c:pt idx="1">
                  <c:v>2</c:v>
                </c:pt>
                <c:pt idx="2">
                  <c:v>1</c:v>
                </c:pt>
              </c:numCache>
            </c:numRef>
          </c:val>
          <c:extLst>
            <c:ext xmlns:c16="http://schemas.microsoft.com/office/drawing/2014/chart" uri="{C3380CC4-5D6E-409C-BE32-E72D297353CC}">
              <c16:uniqueId val="{00000000-62DE-4E0F-904D-FF7D51B29589}"/>
            </c:ext>
          </c:extLst>
        </c:ser>
        <c:dLbls>
          <c:showLegendKey val="0"/>
          <c:showVal val="0"/>
          <c:showCatName val="0"/>
          <c:showSerName val="0"/>
          <c:showPercent val="0"/>
          <c:showBubbleSize val="0"/>
        </c:dLbls>
        <c:gapWidth val="219"/>
        <c:axId val="1068338624"/>
        <c:axId val="1068314080"/>
      </c:barChart>
      <c:catAx>
        <c:axId val="106833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14080"/>
        <c:crosses val="autoZero"/>
        <c:auto val="1"/>
        <c:lblAlgn val="ctr"/>
        <c:lblOffset val="100"/>
        <c:noMultiLvlLbl val="0"/>
      </c:catAx>
      <c:valAx>
        <c:axId val="106831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338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[US_Top_50_Universities_2026 Dashboard.xlsx]Kpi!PivotTable5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Kpi!$F$17</c:f>
              <c:strCache>
                <c:ptCount val="1"/>
                <c:pt idx="0">
                  <c:v>Total</c:v>
                </c:pt>
              </c:strCache>
            </c:strRef>
          </c:tx>
          <c:spPr>
            <a:solidFill>
              <a:schemeClr val="accent1"/>
            </a:solidFill>
            <a:ln>
              <a:noFill/>
            </a:ln>
            <a:effectLst/>
          </c:spPr>
          <c:invertIfNegative val="0"/>
          <c:cat>
            <c:strRef>
              <c:f>Kpi!$E$18:$E$23</c:f>
              <c:strCache>
                <c:ptCount val="5"/>
                <c:pt idx="0">
                  <c:v>Harvard University</c:v>
                </c:pt>
                <c:pt idx="1">
                  <c:v>Princeton University</c:v>
                </c:pt>
                <c:pt idx="2">
                  <c:v>University of Pennsylvania</c:v>
                </c:pt>
                <c:pt idx="3">
                  <c:v>Washington and Lee University</c:v>
                </c:pt>
                <c:pt idx="4">
                  <c:v>Yale University</c:v>
                </c:pt>
              </c:strCache>
            </c:strRef>
          </c:cat>
          <c:val>
            <c:numRef>
              <c:f>Kpi!$F$18:$F$23</c:f>
              <c:numCache>
                <c:formatCode>General</c:formatCode>
                <c:ptCount val="5"/>
                <c:pt idx="0">
                  <c:v>1636</c:v>
                </c:pt>
                <c:pt idx="1">
                  <c:v>1746</c:v>
                </c:pt>
                <c:pt idx="2">
                  <c:v>1740</c:v>
                </c:pt>
                <c:pt idx="3">
                  <c:v>1749</c:v>
                </c:pt>
                <c:pt idx="4">
                  <c:v>1701</c:v>
                </c:pt>
              </c:numCache>
            </c:numRef>
          </c:val>
          <c:extLst>
            <c:ext xmlns:c16="http://schemas.microsoft.com/office/drawing/2014/chart" uri="{C3380CC4-5D6E-409C-BE32-E72D297353CC}">
              <c16:uniqueId val="{00000000-1A46-47E5-B112-F4394287420F}"/>
            </c:ext>
          </c:extLst>
        </c:ser>
        <c:dLbls>
          <c:showLegendKey val="0"/>
          <c:showVal val="0"/>
          <c:showCatName val="0"/>
          <c:showSerName val="0"/>
          <c:showPercent val="0"/>
          <c:showBubbleSize val="0"/>
        </c:dLbls>
        <c:gapWidth val="219"/>
        <c:overlap val="-27"/>
        <c:axId val="1072012256"/>
        <c:axId val="1072008096"/>
      </c:barChart>
      <c:catAx>
        <c:axId val="10720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008096"/>
        <c:crosses val="autoZero"/>
        <c:auto val="1"/>
        <c:lblAlgn val="ctr"/>
        <c:lblOffset val="100"/>
        <c:noMultiLvlLbl val="0"/>
      </c:catAx>
      <c:valAx>
        <c:axId val="107200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01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plotArea>
      <cx:plotAreaRegion>
        <cx:series layoutId="treemap" uniqueId="{E7E851C2-0540-42A7-B6F6-46DA9232C5BC}">
          <cx:dataLabels pos="inEnd">
            <cx:visibility seriesName="0" categoryName="1" value="0"/>
          </cx:dataLabels>
          <cx:dataId val="0"/>
          <cx:layoutPr>
            <cx:parentLabelLayout val="overlapping"/>
          </cx:layoutPr>
        </cx:series>
      </cx:plotAreaRegion>
    </cx:plotArea>
  </cx:chart>
</cx: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plotArea>
      <cx:plotAreaRegion>
        <cx:series layoutId="treemap" uniqueId="{480C4054-FB57-4968-BB6A-DEEEFFC6E282}">
          <cx:dataLabels pos="inEnd">
            <cx:visibility seriesName="0" categoryName="1" value="0"/>
          </cx:dataLabels>
          <cx:dataId val="0"/>
          <cx:layoutPr>
            <cx:parentLabelLayout val="overlapping"/>
          </cx:layoutPr>
        </cx:series>
      </cx:plotAreaRegion>
    </cx:plotArea>
  </cx:chart>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[US_Top_50_Universities_2026 Dashboard.xlsx]Kpi!PivotTable6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A6-4431-9FE8-E87F7494A9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A6-4431-9FE8-E87F7494A905}"/>
              </c:ext>
            </c:extLst>
          </c:dPt>
          <c:cat>
            <c:strRef>
              <c:f>Kpi!$A$21:$A$23</c:f>
              <c:strCache>
                <c:ptCount val="2"/>
                <c:pt idx="0">
                  <c:v>Private</c:v>
                </c:pt>
                <c:pt idx="1">
                  <c:v>Public</c:v>
                </c:pt>
              </c:strCache>
            </c:strRef>
          </c:cat>
          <c:val>
            <c:numRef>
              <c:f>Kpi!$B$21:$B$23</c:f>
              <c:numCache>
                <c:formatCode>General</c:formatCode>
                <c:ptCount val="2"/>
                <c:pt idx="0">
                  <c:v>35</c:v>
                </c:pt>
                <c:pt idx="1">
                  <c:v>15</c:v>
                </c:pt>
              </c:numCache>
            </c:numRef>
          </c:val>
          <c:extLst>
            <c:ext xmlns:c16="http://schemas.microsoft.com/office/drawing/2014/chart" uri="{C3380CC4-5D6E-409C-BE32-E72D297353CC}">
              <c16:uniqueId val="{00000000-156E-4FDD-B18F-03009536FCB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strDim type="cat">
        <cx:f>_xlchart.6</cx:f>
      </cx:strDim>
      <cx:numDim type="size">
        <cx:f>_xlchart.7</cx:f>
      </cx:numDim>
    </cx:data>
  </cx:chartData>
  <cx:chart>
    <cx:title pos="t" align="ctr" overlay="0">
      <cx:tx>
        <cx:rich>
          <a:bodyPr spcFirstLastPara="1" vertOverflow="ellipsis" wrap="square" lIns="0" tIns="0" rIns="0" bIns="0" anchor="ctr" anchorCtr="1"/>
          <a:lstStyle/>
          <a:p>
            <a:pPr algn="ctr">
              <a:defRPr/>
            </a:pPr>
            <a:r>
              <a:rPr lang="en-US" b="1">
                <a:solidFill>
                  <a:schemeClr val="tx1"/>
                </a:solidFill>
              </a:rPr>
              <a:t>Top Universities by Research Imapact Score</a:t>
            </a:r>
          </a:p>
        </cx:rich>
      </cx:tx>
    </cx:title>
    <cx:plotArea>
      <cx:plotAreaRegion>
        <cx:series layoutId="treemap" uniqueId="{016AD667-3B05-4C5F-AAC9-37D01123FDD8}">
          <cx:dataLabels pos="inEnd">
            <cx:txPr>
              <a:bodyPr spcFirstLastPara="1" vertOverflow="ellipsis" wrap="square" lIns="0" tIns="0" rIns="0" bIns="0" anchor="ctr" anchorCtr="1">
                <a:spAutoFit/>
              </a:bodyPr>
              <a:lstStyle/>
              <a:p>
                <a:pPr>
                  <a:defRPr b="1">
                    <a:solidFill>
                      <a:schemeClr val="tx1"/>
                    </a:solidFill>
                  </a:defRPr>
                </a:pPr>
                <a:endParaRPr lang="en-US" b="1">
                  <a:solidFill>
                    <a:schemeClr val="tx1"/>
                  </a:solidFill>
                </a:endParaRPr>
              </a:p>
            </cx:txPr>
            <cx:visibility seriesName="0" categoryName="1" value="0"/>
          </cx:dataLabels>
          <cx:dataId val="0"/>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[US_Top_50_Universities_2026 Dashboard.xlsx]Kpi!PivotTable4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3 University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Kpi!$F$3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Kpi!$E$4:$E$7</c:f>
              <c:strCache>
                <c:ptCount val="3"/>
                <c:pt idx="0">
                  <c:v>Princeton University</c:v>
                </c:pt>
                <c:pt idx="1">
                  <c:v>Columbia University</c:v>
                </c:pt>
                <c:pt idx="2">
                  <c:v>Massachusetts Institute of Technology (MIT)</c:v>
                </c:pt>
              </c:strCache>
            </c:strRef>
          </c:cat>
          <c:val>
            <c:numRef>
              <c:f>Kpi!$F$4:$F$7</c:f>
              <c:numCache>
                <c:formatCode>General</c:formatCode>
                <c:ptCount val="3"/>
                <c:pt idx="0">
                  <c:v>3</c:v>
                </c:pt>
                <c:pt idx="1">
                  <c:v>2</c:v>
                </c:pt>
                <c:pt idx="2">
                  <c:v>1</c:v>
                </c:pt>
              </c:numCache>
            </c:numRef>
          </c:val>
          <c:extLst>
            <c:ext xmlns:c16="http://schemas.microsoft.com/office/drawing/2014/chart" uri="{C3380CC4-5D6E-409C-BE32-E72D297353CC}">
              <c16:uniqueId val="{00000000-7890-4DE4-B29D-40E8F1A2880E}"/>
            </c:ext>
          </c:extLst>
        </c:ser>
        <c:dLbls>
          <c:dLblPos val="outEnd"/>
          <c:showLegendKey val="0"/>
          <c:showVal val="1"/>
          <c:showCatName val="0"/>
          <c:showSerName val="0"/>
          <c:showPercent val="0"/>
          <c:showBubbleSize val="0"/>
        </c:dLbls>
        <c:gapWidth val="219"/>
        <c:axId val="1068338624"/>
        <c:axId val="1068314080"/>
      </c:barChart>
      <c:catAx>
        <c:axId val="106833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small" baseline="0">
                <a:solidFill>
                  <a:schemeClr val="tx1"/>
                </a:solidFill>
                <a:latin typeface="+mn-lt"/>
                <a:ea typeface="+mn-ea"/>
                <a:cs typeface="+mn-cs"/>
              </a:defRPr>
            </a:pPr>
            <a:endParaRPr lang="en-US"/>
          </a:p>
        </c:txPr>
        <c:crossAx val="1068314080"/>
        <c:crosses val="autoZero"/>
        <c:auto val="1"/>
        <c:lblAlgn val="ctr"/>
        <c:lblOffset val="100"/>
        <c:noMultiLvlLbl val="0"/>
      </c:catAx>
      <c:valAx>
        <c:axId val="106831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68338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[US_Top_50_Universities_2026 Dashboard.xlsx]Kpi!PivotTable5</c:name>
    <c:fmtId val="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University Establishgment Timeline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Kpi!$F$17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Kpi!$E$18:$E$23</c:f>
              <c:strCache>
                <c:ptCount val="5"/>
                <c:pt idx="0">
                  <c:v>Harvard University</c:v>
                </c:pt>
                <c:pt idx="1">
                  <c:v>Princeton University</c:v>
                </c:pt>
                <c:pt idx="2">
                  <c:v>University of Pennsylvania</c:v>
                </c:pt>
                <c:pt idx="3">
                  <c:v>Washington and Lee University</c:v>
                </c:pt>
                <c:pt idx="4">
                  <c:v>Yale University</c:v>
                </c:pt>
              </c:strCache>
            </c:strRef>
          </c:cat>
          <c:val>
            <c:numRef>
              <c:f>Kpi!$F$18:$F$23</c:f>
              <c:numCache>
                <c:formatCode>General</c:formatCode>
                <c:ptCount val="5"/>
                <c:pt idx="0">
                  <c:v>1636</c:v>
                </c:pt>
                <c:pt idx="1">
                  <c:v>1746</c:v>
                </c:pt>
                <c:pt idx="2">
                  <c:v>1740</c:v>
                </c:pt>
                <c:pt idx="3">
                  <c:v>1749</c:v>
                </c:pt>
                <c:pt idx="4">
                  <c:v>1701</c:v>
                </c:pt>
              </c:numCache>
            </c:numRef>
          </c:val>
          <c:extLst>
            <c:ext xmlns:c16="http://schemas.microsoft.com/office/drawing/2014/chart" uri="{C3380CC4-5D6E-409C-BE32-E72D297353CC}">
              <c16:uniqueId val="{00000000-EE2A-4BAB-BE00-C7EBE46CA9D3}"/>
            </c:ext>
          </c:extLst>
        </c:ser>
        <c:dLbls>
          <c:showLegendKey val="0"/>
          <c:showVal val="0"/>
          <c:showCatName val="0"/>
          <c:showSerName val="0"/>
          <c:showPercent val="0"/>
          <c:showBubbleSize val="0"/>
        </c:dLbls>
        <c:gapWidth val="100"/>
        <c:overlap val="-24"/>
        <c:axId val="1072012256"/>
        <c:axId val="1072008096"/>
      </c:barChart>
      <c:catAx>
        <c:axId val="10720122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072008096"/>
        <c:crosses val="autoZero"/>
        <c:auto val="1"/>
        <c:lblAlgn val="ctr"/>
        <c:lblOffset val="100"/>
        <c:noMultiLvlLbl val="0"/>
      </c:catAx>
      <c:valAx>
        <c:axId val="10720080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2012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_xlchart.12</cx:f>
      </cx:strDim>
      <cx:numDim type="size">
        <cx:f>_xlchart.13</cx:f>
      </cx:numDim>
    </cx:data>
  </cx:chartData>
  <cx:chart>
    <cx:title pos="t" align="ctr" overlay="0">
      <cx:tx>
        <cx:rich>
          <a:bodyPr spcFirstLastPara="1" vertOverflow="ellipsis" wrap="square" lIns="0" tIns="0" rIns="0" bIns="0" anchor="ctr" anchorCtr="1"/>
          <a:lstStyle/>
          <a:p>
            <a:pPr algn="ctr">
              <a:defRPr/>
            </a:pPr>
            <a:r>
              <a:rPr lang="en-US" b="1">
                <a:solidFill>
                  <a:schemeClr val="tx1"/>
                </a:solidFill>
              </a:rPr>
              <a:t>Top Universities by Student Ratio</a:t>
            </a:r>
          </a:p>
        </cx:rich>
      </cx:tx>
    </cx:title>
    <cx:plotArea>
      <cx:plotAreaRegion>
        <cx:series layoutId="treemap" uniqueId="{E7E851C2-0540-42A7-B6F6-46DA9232C5BC}">
          <cx:dataLabels pos="inEnd">
            <cx:txPr>
              <a:bodyPr spcFirstLastPara="1" vertOverflow="ellipsis" wrap="square" lIns="0" tIns="0" rIns="0" bIns="0" anchor="ctr" anchorCtr="1">
                <a:spAutoFit/>
              </a:bodyPr>
              <a:lstStyle/>
              <a:p>
                <a:pPr>
                  <a:defRPr sz="900" b="1">
                    <a:solidFill>
                      <a:schemeClr val="tx1"/>
                    </a:solidFill>
                  </a:defRPr>
                </a:pPr>
                <a:endParaRPr lang="en-US" sz="900" b="1">
                  <a:solidFill>
                    <a:schemeClr val="tx1"/>
                  </a:solidFill>
                </a:endParaRPr>
              </a:p>
            </cx:txPr>
            <cx:visibility seriesName="0" categoryName="1" value="0"/>
          </cx:dataLabels>
          <cx:dataId val="0"/>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hart11.xml><?xml version="1.0" encoding="utf-8"?>
<cx:chartSpace xmlns:a="http://schemas.openxmlformats.org/drawingml/2006/main" xmlns:r="http://schemas.openxmlformats.org/officeDocument/2006/relationships" xmlns:cx="http://schemas.microsoft.com/office/drawing/2014/chartex">
  <cx:chartData>
    <cx:data id="0">
      <cx:strDim type="cat">
        <cx:f>_xlchart.10</cx:f>
      </cx:strDim>
      <cx:numDim type="size">
        <cx:f>_xlchart.11</cx:f>
      </cx:numDim>
    </cx:data>
  </cx:chartData>
  <cx:chart>
    <cx:title pos="t" align="ctr" overlay="0">
      <cx:tx>
        <cx:rich>
          <a:bodyPr spcFirstLastPara="1" vertOverflow="ellipsis" wrap="square" lIns="0" tIns="0" rIns="0" bIns="0" anchor="ctr" anchorCtr="1"/>
          <a:lstStyle/>
          <a:p>
            <a:pPr algn="ctr">
              <a:defRPr/>
            </a:pPr>
            <a:r>
              <a:rPr lang="en-US" b="1">
                <a:solidFill>
                  <a:schemeClr val="tx1"/>
                </a:solidFill>
              </a:rPr>
              <a:t>Top Universities by Employment Rate</a:t>
            </a:r>
          </a:p>
        </cx:rich>
      </cx:tx>
    </cx:title>
    <cx:plotArea>
      <cx:plotAreaRegion>
        <cx:series layoutId="treemap" uniqueId="{480C4054-FB57-4968-BB6A-DEEEFFC6E282}">
          <cx:dataLabels pos="inEnd">
            <cx:txPr>
              <a:bodyPr spcFirstLastPara="1" vertOverflow="ellipsis" wrap="square" lIns="0" tIns="0" rIns="0" bIns="0" anchor="ctr" anchorCtr="1">
                <a:spAutoFit/>
              </a:bodyPr>
              <a:lstStyle/>
              <a:p>
                <a:pPr>
                  <a:defRPr sz="900" b="1">
                    <a:solidFill>
                      <a:schemeClr val="tx1"/>
                    </a:solidFill>
                  </a:defRPr>
                </a:pPr>
                <a:endParaRPr lang="en-US" sz="900" b="1">
                  <a:solidFill>
                    <a:schemeClr val="tx1"/>
                  </a:solidFill>
                </a:endParaRPr>
              </a:p>
            </cx:txPr>
            <cx:visibility seriesName="0" categoryName="1" value="0"/>
          </cx:dataLabels>
          <cx:dataId val="0"/>
          <cx:layoutPr>
            <cx:parentLabelLayout val="overlapping"/>
          </cx:layoutPr>
        </cx:series>
      </cx:plotAreaRegion>
    </cx:plotArea>
  </cx:chart>
  <cx:spPr>
    <a:noFill/>
    <a:ln>
      <a:noFill/>
    </a:ln>
  </cx:spPr>
  <cx:clrMapOvr bg1="lt1" tx1="dk1" bg2="lt2" tx2="dk2" accent1="accent1" accent2="accent2" accent3="accent3" accent4="accent4" accent5="accent5" accent6="accent6" hlink="hlink" folHlink="folHlink"/>
</cx: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[US_Top_50_Universities_2026 Dashboard.xlsx]Kpi!PivotTable6</c:name>
    <c:fmtId val="2"/>
  </c:pivotSource>
  <c:chart>
    <c:autoTitleDeleted val="1"/>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6">
              <a:shade val="76000"/>
            </a:schemeClr>
          </a:solidFill>
          <a:ln w="19050">
            <a:solidFill>
              <a:schemeClr val="lt1"/>
            </a:solidFill>
          </a:ln>
          <a:effectLst/>
        </c:spPr>
      </c:pivotFmt>
      <c:pivotFmt>
        <c:idx val="9"/>
        <c:spPr>
          <a:solidFill>
            <a:schemeClr val="accent6">
              <a:tint val="77000"/>
            </a:schemeClr>
          </a:solidFill>
          <a:ln w="19050">
            <a:solidFill>
              <a:schemeClr val="lt1"/>
            </a:solidFill>
          </a:ln>
          <a:effectLst/>
        </c:spPr>
      </c:pivotFmt>
    </c:pivotFmts>
    <c:plotArea>
      <c:layout>
        <c:manualLayout>
          <c:layoutTarget val="inner"/>
          <c:xMode val="edge"/>
          <c:yMode val="edge"/>
          <c:x val="0.21217994569940854"/>
          <c:y val="0.19190902408253746"/>
          <c:w val="0.62077672431027142"/>
          <c:h val="0.77154023068523114"/>
        </c:manualLayout>
      </c:layout>
      <c:doughnutChart>
        <c:varyColors val="1"/>
        <c:ser>
          <c:idx val="0"/>
          <c:order val="0"/>
          <c:tx>
            <c:strRef>
              <c:f>Kpi!$B$20</c:f>
              <c:strCache>
                <c:ptCount val="1"/>
                <c:pt idx="0">
                  <c:v>Total</c:v>
                </c:pt>
              </c:strCache>
            </c:strRef>
          </c:tx>
          <c:dPt>
            <c:idx val="0"/>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1-EC16-4751-BB7A-E8B30ABA7A00}"/>
              </c:ext>
            </c:extLst>
          </c:dPt>
          <c:dPt>
            <c:idx val="1"/>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3-EC16-4751-BB7A-E8B30ABA7A00}"/>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Kpi!$A$21:$A$23</c:f>
              <c:strCache>
                <c:ptCount val="2"/>
                <c:pt idx="0">
                  <c:v>Private</c:v>
                </c:pt>
                <c:pt idx="1">
                  <c:v>Public</c:v>
                </c:pt>
              </c:strCache>
            </c:strRef>
          </c:cat>
          <c:val>
            <c:numRef>
              <c:f>Kpi!$B$21:$B$23</c:f>
              <c:numCache>
                <c:formatCode>General</c:formatCode>
                <c:ptCount val="2"/>
                <c:pt idx="0">
                  <c:v>35</c:v>
                </c:pt>
                <c:pt idx="1">
                  <c:v>15</c:v>
                </c:pt>
              </c:numCache>
            </c:numRef>
          </c:val>
          <c:extLst>
            <c:ext xmlns:c16="http://schemas.microsoft.com/office/drawing/2014/chart" uri="{C3380CC4-5D6E-409C-BE32-E72D297353CC}">
              <c16:uniqueId val="{00000004-EC16-4751-BB7A-E8B30ABA7A00}"/>
            </c:ext>
          </c:extLst>
        </c:ser>
        <c:dLbls>
          <c:showLegendKey val="0"/>
          <c:showVal val="0"/>
          <c:showCatName val="0"/>
          <c:showSerName val="0"/>
          <c:showPercent val="0"/>
          <c:showBubbleSize val="0"/>
          <c:showLeaderLines val="1"/>
        </c:dLbls>
        <c:firstSliceAng val="0"/>
        <c:holeSize val="75"/>
      </c:doughnutChart>
      <c:spPr>
        <a:noFill/>
        <a:ln>
          <a:noFill/>
        </a:ln>
        <a:effectLst>
          <a:glow rad="127000">
            <a:schemeClr val="accent1"/>
          </a:glow>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9</xdr:col>
      <xdr:colOff>422275</xdr:colOff>
      <xdr:row>32</xdr:row>
      <xdr:rowOff>180975</xdr:rowOff>
    </xdr:from>
    <xdr:to>
      <xdr:col>17</xdr:col>
      <xdr:colOff>117475</xdr:colOff>
      <xdr:row>47</xdr:row>
      <xdr:rowOff>161925</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295088</xdr:colOff>
      <xdr:row>1</xdr:row>
      <xdr:rowOff>36605</xdr:rowOff>
    </xdr:from>
    <xdr:to>
      <xdr:col>7</xdr:col>
      <xdr:colOff>2516910</xdr:colOff>
      <xdr:row>11</xdr:row>
      <xdr:rowOff>103909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272676</xdr:colOff>
      <xdr:row>14</xdr:row>
      <xdr:rowOff>59697</xdr:rowOff>
    </xdr:from>
    <xdr:to>
      <xdr:col>8</xdr:col>
      <xdr:colOff>69273</xdr:colOff>
      <xdr:row>25</xdr:row>
      <xdr:rowOff>80818</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145676</xdr:colOff>
      <xdr:row>48</xdr:row>
      <xdr:rowOff>14194</xdr:rowOff>
    </xdr:from>
    <xdr:to>
      <xdr:col>16</xdr:col>
      <xdr:colOff>429558</xdr:colOff>
      <xdr:row>62</xdr:row>
      <xdr:rowOff>142688</xdr:rowOff>
    </xdr:to>
    <mc:AlternateContent xmlns:mc="http://schemas.openxmlformats.org/markup-compatibility/2006">
      <mc:Choice xmlns:cx="http://schemas.microsoft.com/office/drawing/2014/chartex" Requires="cx">
        <xdr:graphicFrame macro="">
          <xdr:nvGraphicFramePr>
            <xdr:cNvPr id="5" name="Chart 4"/>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63500</xdr:colOff>
      <xdr:row>63</xdr:row>
      <xdr:rowOff>88901</xdr:rowOff>
    </xdr:from>
    <xdr:to>
      <xdr:col>16</xdr:col>
      <xdr:colOff>347382</xdr:colOff>
      <xdr:row>78</xdr:row>
      <xdr:rowOff>30630</xdr:rowOff>
    </xdr:to>
    <mc:AlternateContent xmlns:mc="http://schemas.openxmlformats.org/markup-compatibility/2006">
      <mc:Choice xmlns:cx="http://schemas.microsoft.com/office/drawing/2014/chartex" Requires="cx">
        <xdr:graphicFrame macro="">
          <xdr:nvGraphicFramePr>
            <xdr:cNvPr id="6" name="Chart 5"/>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xdr:colOff>
      <xdr:row>29</xdr:row>
      <xdr:rowOff>9071</xdr:rowOff>
    </xdr:from>
    <xdr:to>
      <xdr:col>1</xdr:col>
      <xdr:colOff>923637</xdr:colOff>
      <xdr:row>40</xdr:row>
      <xdr:rowOff>34637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572655</xdr:colOff>
      <xdr:row>15</xdr:row>
      <xdr:rowOff>10392</xdr:rowOff>
    </xdr:from>
    <xdr:to>
      <xdr:col>12</xdr:col>
      <xdr:colOff>565150</xdr:colOff>
      <xdr:row>20</xdr:row>
      <xdr:rowOff>48492</xdr:rowOff>
    </xdr:to>
    <mc:AlternateContent xmlns:mc="http://schemas.openxmlformats.org/markup-compatibility/2006">
      <mc:Choice xmlns:a14="http://schemas.microsoft.com/office/drawing/2010/main" Requires="a14">
        <xdr:graphicFrame macro="">
          <xdr:nvGraphicFramePr>
            <xdr:cNvPr id="8" name="Institution_Type"/>
            <xdr:cNvGraphicFramePr/>
          </xdr:nvGraphicFramePr>
          <xdr:xfrm>
            <a:off x="0" y="0"/>
            <a:ext cx="0" cy="0"/>
          </xdr:xfrm>
          <a:graphic>
            <a:graphicData uri="http://schemas.microsoft.com/office/drawing/2010/slicer">
              <sle:slicer xmlns:sle="http://schemas.microsoft.com/office/drawing/2010/slicer" name="Institution_Type"/>
            </a:graphicData>
          </a:graphic>
        </xdr:graphicFrame>
      </mc:Choice>
      <mc:Fallback>
        <xdr:sp macro="" textlink="">
          <xdr:nvSpPr>
            <xdr:cNvPr id="0" name=""/>
            <xdr:cNvSpPr>
              <a:spLocks noTextEdit="1"/>
            </xdr:cNvSpPr>
          </xdr:nvSpPr>
          <xdr:spPr>
            <a:xfrm>
              <a:off x="13653655" y="2781301"/>
              <a:ext cx="1828222" cy="961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590324</xdr:colOff>
      <xdr:row>0</xdr:row>
      <xdr:rowOff>181188</xdr:rowOff>
    </xdr:from>
    <xdr:to>
      <xdr:col>12</xdr:col>
      <xdr:colOff>589923</xdr:colOff>
      <xdr:row>14</xdr:row>
      <xdr:rowOff>129145</xdr:rowOff>
    </xdr:to>
    <mc:AlternateContent xmlns:mc="http://schemas.openxmlformats.org/markup-compatibility/2006">
      <mc:Choice xmlns:a14="http://schemas.microsoft.com/office/drawing/2010/main" Requires="a14">
        <xdr:graphicFrame macro="">
          <xdr:nvGraphicFramePr>
            <xdr:cNvPr id="9"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3671324" y="181188"/>
              <a:ext cx="1835326" cy="2534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1</xdr:row>
      <xdr:rowOff>177800</xdr:rowOff>
    </xdr:from>
    <xdr:to>
      <xdr:col>3</xdr:col>
      <xdr:colOff>228600</xdr:colOff>
      <xdr:row>26</xdr:row>
      <xdr:rowOff>25400</xdr:rowOff>
    </xdr:to>
    <xdr:sp macro="" textlink="">
      <xdr:nvSpPr>
        <xdr:cNvPr id="2" name="Rounded Rectangle 1"/>
        <xdr:cNvSpPr/>
      </xdr:nvSpPr>
      <xdr:spPr>
        <a:xfrm>
          <a:off x="628650" y="361950"/>
          <a:ext cx="1428750" cy="445135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596900</xdr:colOff>
      <xdr:row>2</xdr:row>
      <xdr:rowOff>19050</xdr:rowOff>
    </xdr:from>
    <xdr:to>
      <xdr:col>17</xdr:col>
      <xdr:colOff>6350</xdr:colOff>
      <xdr:row>4</xdr:row>
      <xdr:rowOff>12700</xdr:rowOff>
    </xdr:to>
    <xdr:sp macro="" textlink="">
      <xdr:nvSpPr>
        <xdr:cNvPr id="3" name="Rounded Rectangle 2"/>
        <xdr:cNvSpPr/>
      </xdr:nvSpPr>
      <xdr:spPr>
        <a:xfrm>
          <a:off x="2425700" y="387350"/>
          <a:ext cx="7943850" cy="3619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311150</xdr:colOff>
      <xdr:row>2</xdr:row>
      <xdr:rowOff>31750</xdr:rowOff>
    </xdr:from>
    <xdr:to>
      <xdr:col>15</xdr:col>
      <xdr:colOff>292100</xdr:colOff>
      <xdr:row>4</xdr:row>
      <xdr:rowOff>6350</xdr:rowOff>
    </xdr:to>
    <xdr:sp macro="" textlink="">
      <xdr:nvSpPr>
        <xdr:cNvPr id="4" name="Flowchart: Terminator 3"/>
        <xdr:cNvSpPr/>
      </xdr:nvSpPr>
      <xdr:spPr>
        <a:xfrm>
          <a:off x="3359150" y="400050"/>
          <a:ext cx="6076950" cy="342900"/>
        </a:xfrm>
        <a:prstGeom prst="flowChartTerminator">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b="1">
              <a:latin typeface="Arial Rounded MT Bold" panose="020F0704030504030204" pitchFamily="34" charset="0"/>
            </a:rPr>
            <a:t>Global</a:t>
          </a:r>
          <a:r>
            <a:rPr lang="en-US" sz="1800" b="1" baseline="0">
              <a:latin typeface="Arial Rounded MT Bold" panose="020F0704030504030204" pitchFamily="34" charset="0"/>
            </a:rPr>
            <a:t> University Performance Dashboard</a:t>
          </a:r>
          <a:endParaRPr lang="en-US" sz="1800" b="1">
            <a:latin typeface="Arial Rounded MT Bold" panose="020F0704030504030204" pitchFamily="34" charset="0"/>
          </a:endParaRPr>
        </a:p>
      </xdr:txBody>
    </xdr:sp>
    <xdr:clientData/>
  </xdr:twoCellAnchor>
  <xdr:twoCellAnchor>
    <xdr:from>
      <xdr:col>17</xdr:col>
      <xdr:colOff>418356</xdr:colOff>
      <xdr:row>2</xdr:row>
      <xdr:rowOff>14943</xdr:rowOff>
    </xdr:from>
    <xdr:to>
      <xdr:col>19</xdr:col>
      <xdr:colOff>597650</xdr:colOff>
      <xdr:row>26</xdr:row>
      <xdr:rowOff>49307</xdr:rowOff>
    </xdr:to>
    <xdr:sp macro="" textlink="">
      <xdr:nvSpPr>
        <xdr:cNvPr id="6" name="Rounded Rectangle 5"/>
        <xdr:cNvSpPr/>
      </xdr:nvSpPr>
      <xdr:spPr>
        <a:xfrm>
          <a:off x="10832356" y="388472"/>
          <a:ext cx="1404470" cy="4516717"/>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582706</xdr:colOff>
      <xdr:row>2</xdr:row>
      <xdr:rowOff>141942</xdr:rowOff>
    </xdr:from>
    <xdr:to>
      <xdr:col>3</xdr:col>
      <xdr:colOff>351117</xdr:colOff>
      <xdr:row>6</xdr:row>
      <xdr:rowOff>141941</xdr:rowOff>
    </xdr:to>
    <xdr:sp macro="" textlink="">
      <xdr:nvSpPr>
        <xdr:cNvPr id="7" name="Rounded Rectangle 6"/>
        <xdr:cNvSpPr/>
      </xdr:nvSpPr>
      <xdr:spPr>
        <a:xfrm>
          <a:off x="582706" y="515471"/>
          <a:ext cx="1606176" cy="74705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313765</xdr:colOff>
      <xdr:row>2</xdr:row>
      <xdr:rowOff>179294</xdr:rowOff>
    </xdr:from>
    <xdr:to>
      <xdr:col>20</xdr:col>
      <xdr:colOff>59764</xdr:colOff>
      <xdr:row>6</xdr:row>
      <xdr:rowOff>179293</xdr:rowOff>
    </xdr:to>
    <xdr:sp macro="" textlink="">
      <xdr:nvSpPr>
        <xdr:cNvPr id="8" name="Rounded Rectangle 7"/>
        <xdr:cNvSpPr/>
      </xdr:nvSpPr>
      <xdr:spPr>
        <a:xfrm>
          <a:off x="10727765" y="552823"/>
          <a:ext cx="1583764" cy="747058"/>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14944</xdr:colOff>
      <xdr:row>6</xdr:row>
      <xdr:rowOff>22415</xdr:rowOff>
    </xdr:from>
    <xdr:to>
      <xdr:col>8</xdr:col>
      <xdr:colOff>14944</xdr:colOff>
      <xdr:row>13</xdr:row>
      <xdr:rowOff>44827</xdr:rowOff>
    </xdr:to>
    <xdr:sp macro="" textlink="">
      <xdr:nvSpPr>
        <xdr:cNvPr id="9" name="Rounded Rectangle 8"/>
        <xdr:cNvSpPr/>
      </xdr:nvSpPr>
      <xdr:spPr>
        <a:xfrm>
          <a:off x="2465297" y="1143003"/>
          <a:ext cx="2450353" cy="132976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Top</a:t>
          </a:r>
          <a:r>
            <a:rPr lang="en-US" sz="1400" b="1" baseline="0"/>
            <a:t> Institution by Research Impact</a:t>
          </a:r>
          <a:endParaRPr lang="en-US" sz="1400" b="1"/>
        </a:p>
      </xdr:txBody>
    </xdr:sp>
    <xdr:clientData/>
  </xdr:twoCellAnchor>
  <xdr:twoCellAnchor>
    <xdr:from>
      <xdr:col>8</xdr:col>
      <xdr:colOff>313768</xdr:colOff>
      <xdr:row>6</xdr:row>
      <xdr:rowOff>14943</xdr:rowOff>
    </xdr:from>
    <xdr:to>
      <xdr:col>12</xdr:col>
      <xdr:colOff>313768</xdr:colOff>
      <xdr:row>13</xdr:row>
      <xdr:rowOff>37355</xdr:rowOff>
    </xdr:to>
    <xdr:sp macro="" textlink="">
      <xdr:nvSpPr>
        <xdr:cNvPr id="10" name="Rounded Rectangle 9"/>
        <xdr:cNvSpPr/>
      </xdr:nvSpPr>
      <xdr:spPr>
        <a:xfrm>
          <a:off x="5214474" y="1135531"/>
          <a:ext cx="2450353" cy="132976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International Student Ratio</a:t>
          </a:r>
          <a:r>
            <a:rPr lang="en-US" sz="1400" b="1" baseline="0"/>
            <a:t> in Leading Universities</a:t>
          </a:r>
          <a:endParaRPr lang="en-US" sz="1400" b="1"/>
        </a:p>
      </xdr:txBody>
    </xdr:sp>
    <xdr:clientData/>
  </xdr:twoCellAnchor>
  <xdr:twoCellAnchor>
    <xdr:from>
      <xdr:col>12</xdr:col>
      <xdr:colOff>605121</xdr:colOff>
      <xdr:row>6</xdr:row>
      <xdr:rowOff>14942</xdr:rowOff>
    </xdr:from>
    <xdr:to>
      <xdr:col>16</xdr:col>
      <xdr:colOff>605121</xdr:colOff>
      <xdr:row>13</xdr:row>
      <xdr:rowOff>37354</xdr:rowOff>
    </xdr:to>
    <xdr:sp macro="" textlink="">
      <xdr:nvSpPr>
        <xdr:cNvPr id="11" name="Rounded Rectangle 10"/>
        <xdr:cNvSpPr/>
      </xdr:nvSpPr>
      <xdr:spPr>
        <a:xfrm>
          <a:off x="7956180" y="1135530"/>
          <a:ext cx="2450353" cy="132976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Employment</a:t>
          </a:r>
          <a:r>
            <a:rPr lang="en-US" sz="1400" b="1" baseline="0"/>
            <a:t> Performance by Top Universities</a:t>
          </a:r>
          <a:endParaRPr lang="en-US" sz="1400" b="1"/>
        </a:p>
      </xdr:txBody>
    </xdr:sp>
    <xdr:clientData/>
  </xdr:twoCellAnchor>
  <xdr:twoCellAnchor>
    <xdr:from>
      <xdr:col>4</xdr:col>
      <xdr:colOff>18143</xdr:colOff>
      <xdr:row>13</xdr:row>
      <xdr:rowOff>163286</xdr:rowOff>
    </xdr:from>
    <xdr:to>
      <xdr:col>13</xdr:col>
      <xdr:colOff>0</xdr:colOff>
      <xdr:row>26</xdr:row>
      <xdr:rowOff>27214</xdr:rowOff>
    </xdr:to>
    <xdr:sp macro="" textlink="">
      <xdr:nvSpPr>
        <xdr:cNvPr id="12" name="Rounded Rectangle 11"/>
        <xdr:cNvSpPr/>
      </xdr:nvSpPr>
      <xdr:spPr>
        <a:xfrm>
          <a:off x="2449286" y="2521857"/>
          <a:ext cx="5451928" cy="22225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57099</xdr:colOff>
      <xdr:row>14</xdr:row>
      <xdr:rowOff>0</xdr:rowOff>
    </xdr:from>
    <xdr:to>
      <xdr:col>17</xdr:col>
      <xdr:colOff>38956</xdr:colOff>
      <xdr:row>26</xdr:row>
      <xdr:rowOff>27214</xdr:rowOff>
    </xdr:to>
    <xdr:sp macro="" textlink="">
      <xdr:nvSpPr>
        <xdr:cNvPr id="13" name="Rounded Rectangle 12"/>
        <xdr:cNvSpPr/>
      </xdr:nvSpPr>
      <xdr:spPr>
        <a:xfrm>
          <a:off x="8020746" y="2614706"/>
          <a:ext cx="2432210" cy="226839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18143</xdr:colOff>
      <xdr:row>27</xdr:row>
      <xdr:rowOff>23091</xdr:rowOff>
    </xdr:from>
    <xdr:to>
      <xdr:col>7</xdr:col>
      <xdr:colOff>11546</xdr:colOff>
      <xdr:row>40</xdr:row>
      <xdr:rowOff>168233</xdr:rowOff>
    </xdr:to>
    <xdr:sp macro="" textlink="">
      <xdr:nvSpPr>
        <xdr:cNvPr id="15" name="Flowchart: Alternate Process 14"/>
        <xdr:cNvSpPr/>
      </xdr:nvSpPr>
      <xdr:spPr>
        <a:xfrm>
          <a:off x="630052" y="5010727"/>
          <a:ext cx="3664858" cy="2546597"/>
        </a:xfrm>
        <a:prstGeom prst="flowChartAlternateProcess">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323277</xdr:colOff>
      <xdr:row>27</xdr:row>
      <xdr:rowOff>34636</xdr:rowOff>
    </xdr:from>
    <xdr:to>
      <xdr:col>13</xdr:col>
      <xdr:colOff>316681</xdr:colOff>
      <xdr:row>40</xdr:row>
      <xdr:rowOff>179778</xdr:rowOff>
    </xdr:to>
    <xdr:sp macro="" textlink="">
      <xdr:nvSpPr>
        <xdr:cNvPr id="18" name="Flowchart: Alternate Process 17"/>
        <xdr:cNvSpPr/>
      </xdr:nvSpPr>
      <xdr:spPr>
        <a:xfrm>
          <a:off x="4606641" y="5022272"/>
          <a:ext cx="3664858" cy="2546597"/>
        </a:xfrm>
        <a:prstGeom prst="flowChartAlternateProcess">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611908</xdr:colOff>
      <xdr:row>27</xdr:row>
      <xdr:rowOff>23091</xdr:rowOff>
    </xdr:from>
    <xdr:to>
      <xdr:col>19</xdr:col>
      <xdr:colOff>605311</xdr:colOff>
      <xdr:row>40</xdr:row>
      <xdr:rowOff>168233</xdr:rowOff>
    </xdr:to>
    <xdr:sp macro="" textlink="">
      <xdr:nvSpPr>
        <xdr:cNvPr id="19" name="Flowchart: Alternate Process 18"/>
        <xdr:cNvSpPr/>
      </xdr:nvSpPr>
      <xdr:spPr>
        <a:xfrm>
          <a:off x="8566726" y="5010727"/>
          <a:ext cx="3664858" cy="2546597"/>
        </a:xfrm>
        <a:prstGeom prst="flowChartAlternateProcess">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34636</xdr:colOff>
      <xdr:row>27</xdr:row>
      <xdr:rowOff>21989</xdr:rowOff>
    </xdr:from>
    <xdr:to>
      <xdr:col>6</xdr:col>
      <xdr:colOff>600363</xdr:colOff>
      <xdr:row>39</xdr:row>
      <xdr:rowOff>173181</xdr:rowOff>
    </xdr:to>
    <mc:AlternateContent xmlns:mc="http://schemas.openxmlformats.org/markup-compatibility/2006">
      <mc:Choice xmlns:cx="http://schemas.microsoft.com/office/drawing/2014/chartex" Requires="cx">
        <xdr:graphicFrame macro="">
          <xdr:nvGraphicFramePr>
            <xdr:cNvPr id="20" name="Chart 19"/>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603130</xdr:colOff>
      <xdr:row>6</xdr:row>
      <xdr:rowOff>164109</xdr:rowOff>
    </xdr:from>
    <xdr:to>
      <xdr:col>3</xdr:col>
      <xdr:colOff>226787</xdr:colOff>
      <xdr:row>26</xdr:row>
      <xdr:rowOff>18142</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11546</xdr:colOff>
      <xdr:row>13</xdr:row>
      <xdr:rowOff>145473</xdr:rowOff>
    </xdr:from>
    <xdr:to>
      <xdr:col>13</xdr:col>
      <xdr:colOff>11546</xdr:colOff>
      <xdr:row>25</xdr:row>
      <xdr:rowOff>173182</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323272</xdr:colOff>
      <xdr:row>27</xdr:row>
      <xdr:rowOff>11546</xdr:rowOff>
    </xdr:from>
    <xdr:to>
      <xdr:col>13</xdr:col>
      <xdr:colOff>288637</xdr:colOff>
      <xdr:row>40</xdr:row>
      <xdr:rowOff>115454</xdr:rowOff>
    </xdr:to>
    <mc:AlternateContent xmlns:mc="http://schemas.openxmlformats.org/markup-compatibility/2006">
      <mc:Choice xmlns:cx="http://schemas.microsoft.com/office/drawing/2014/chartex" Requires="cx">
        <xdr:graphicFrame macro="">
          <xdr:nvGraphicFramePr>
            <xdr:cNvPr id="23" name="Chart 2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605932</xdr:colOff>
      <xdr:row>26</xdr:row>
      <xdr:rowOff>142350</xdr:rowOff>
    </xdr:from>
    <xdr:to>
      <xdr:col>19</xdr:col>
      <xdr:colOff>542636</xdr:colOff>
      <xdr:row>40</xdr:row>
      <xdr:rowOff>115454</xdr:rowOff>
    </xdr:to>
    <mc:AlternateContent xmlns:mc="http://schemas.openxmlformats.org/markup-compatibility/2006">
      <mc:Choice xmlns:cx="http://schemas.microsoft.com/office/drawing/2014/chartex" Requires="cx">
        <xdr:graphicFrame macro="">
          <xdr:nvGraphicFramePr>
            <xdr:cNvPr id="24" name="Chart 23"/>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145142</xdr:colOff>
      <xdr:row>11</xdr:row>
      <xdr:rowOff>127001</xdr:rowOff>
    </xdr:from>
    <xdr:to>
      <xdr:col>17</xdr:col>
      <xdr:colOff>462643</xdr:colOff>
      <xdr:row>26</xdr:row>
      <xdr:rowOff>106135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462643</xdr:colOff>
      <xdr:row>12</xdr:row>
      <xdr:rowOff>0</xdr:rowOff>
    </xdr:from>
    <xdr:ext cx="184731" cy="264560"/>
    <xdr:sp macro="" textlink="">
      <xdr:nvSpPr>
        <xdr:cNvPr id="26" name="TextBox 25"/>
        <xdr:cNvSpPr txBox="1"/>
      </xdr:nvSpPr>
      <xdr:spPr>
        <a:xfrm>
          <a:off x="8971643" y="21771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18143</xdr:colOff>
      <xdr:row>9</xdr:row>
      <xdr:rowOff>108857</xdr:rowOff>
    </xdr:from>
    <xdr:to>
      <xdr:col>6</xdr:col>
      <xdr:colOff>489857</xdr:colOff>
      <xdr:row>12</xdr:row>
      <xdr:rowOff>136071</xdr:rowOff>
    </xdr:to>
    <xdr:sp macro="" textlink="Kpi!A7">
      <xdr:nvSpPr>
        <xdr:cNvPr id="27" name="Rounded Rectangle 26"/>
        <xdr:cNvSpPr/>
      </xdr:nvSpPr>
      <xdr:spPr>
        <a:xfrm>
          <a:off x="2449286" y="1741714"/>
          <a:ext cx="1687285" cy="57150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F7AAD2F5-3842-45EF-AD59-EBD0FDCB7E52}" type="TxLink">
            <a:rPr lang="en-US" sz="1100" b="1" i="0" u="none" strike="noStrike">
              <a:solidFill>
                <a:srgbClr val="000000"/>
              </a:solidFill>
              <a:latin typeface="Calibri"/>
              <a:ea typeface="Calibri"/>
              <a:cs typeface="Calibri"/>
            </a:rPr>
            <a:pPr algn="l"/>
            <a:t>Massachusetts Institute of Technology (MIT)</a:t>
          </a:fld>
          <a:endParaRPr lang="en-US" sz="1100" b="1"/>
        </a:p>
      </xdr:txBody>
    </xdr:sp>
    <xdr:clientData/>
  </xdr:twoCellAnchor>
  <xdr:twoCellAnchor>
    <xdr:from>
      <xdr:col>8</xdr:col>
      <xdr:colOff>326570</xdr:colOff>
      <xdr:row>9</xdr:row>
      <xdr:rowOff>108854</xdr:rowOff>
    </xdr:from>
    <xdr:to>
      <xdr:col>11</xdr:col>
      <xdr:colOff>190498</xdr:colOff>
      <xdr:row>12</xdr:row>
      <xdr:rowOff>136068</xdr:rowOff>
    </xdr:to>
    <xdr:sp macro="" textlink="Kpi!A12">
      <xdr:nvSpPr>
        <xdr:cNvPr id="31" name="Rounded Rectangle 30"/>
        <xdr:cNvSpPr/>
      </xdr:nvSpPr>
      <xdr:spPr>
        <a:xfrm>
          <a:off x="5188856" y="1741711"/>
          <a:ext cx="1687285" cy="57150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503A2B3-6747-489C-AB04-75A030C100BB}" type="TxLink">
            <a:rPr lang="en-US" sz="1100" b="1" i="0" u="none" strike="noStrike">
              <a:solidFill>
                <a:srgbClr val="000000"/>
              </a:solidFill>
              <a:latin typeface="Calibri"/>
              <a:ea typeface="Calibri"/>
              <a:cs typeface="Calibri"/>
            </a:rPr>
            <a:pPr algn="ctr"/>
            <a:t>Johns Hopkins University</a:t>
          </a:fld>
          <a:endParaRPr lang="en-US" sz="1100" b="1"/>
        </a:p>
      </xdr:txBody>
    </xdr:sp>
    <xdr:clientData/>
  </xdr:twoCellAnchor>
  <xdr:twoCellAnchor>
    <xdr:from>
      <xdr:col>13</xdr:col>
      <xdr:colOff>7256</xdr:colOff>
      <xdr:row>9</xdr:row>
      <xdr:rowOff>107038</xdr:rowOff>
    </xdr:from>
    <xdr:to>
      <xdr:col>15</xdr:col>
      <xdr:colOff>478969</xdr:colOff>
      <xdr:row>12</xdr:row>
      <xdr:rowOff>134252</xdr:rowOff>
    </xdr:to>
    <xdr:sp macro="" textlink="Kpi!A17">
      <xdr:nvSpPr>
        <xdr:cNvPr id="32" name="Rounded Rectangle 31"/>
        <xdr:cNvSpPr/>
      </xdr:nvSpPr>
      <xdr:spPr>
        <a:xfrm>
          <a:off x="7908470" y="1739895"/>
          <a:ext cx="1687285" cy="571500"/>
        </a:xfrm>
        <a:prstGeom prst="roundRect">
          <a:avLst/>
        </a:prstGeom>
        <a:solidFill>
          <a:schemeClr val="accent6">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6DD76EB-7098-401F-ABB4-0F38EDBBBF1C}" type="TxLink">
            <a:rPr lang="en-US" sz="1100" b="1" i="0" u="none" strike="noStrike">
              <a:solidFill>
                <a:srgbClr val="000000"/>
              </a:solidFill>
              <a:latin typeface="Calibri"/>
              <a:ea typeface="Calibri"/>
              <a:cs typeface="Calibri"/>
            </a:rPr>
            <a:pPr algn="ctr"/>
            <a:t>Stanford University</a:t>
          </a:fld>
          <a:endParaRPr lang="en-US" sz="1100" b="1"/>
        </a:p>
      </xdr:txBody>
    </xdr:sp>
    <xdr:clientData/>
  </xdr:twoCellAnchor>
  <xdr:oneCellAnchor>
    <xdr:from>
      <xdr:col>5</xdr:col>
      <xdr:colOff>480785</xdr:colOff>
      <xdr:row>11</xdr:row>
      <xdr:rowOff>127000</xdr:rowOff>
    </xdr:from>
    <xdr:ext cx="184731" cy="264560"/>
    <xdr:sp macro="" textlink="">
      <xdr:nvSpPr>
        <xdr:cNvPr id="33" name="TextBox 32"/>
        <xdr:cNvSpPr txBox="1"/>
      </xdr:nvSpPr>
      <xdr:spPr>
        <a:xfrm>
          <a:off x="3519714" y="2122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9071</xdr:colOff>
      <xdr:row>11</xdr:row>
      <xdr:rowOff>63500</xdr:rowOff>
    </xdr:from>
    <xdr:ext cx="184731" cy="264560"/>
    <xdr:sp macro="" textlink="">
      <xdr:nvSpPr>
        <xdr:cNvPr id="34" name="TextBox 33"/>
        <xdr:cNvSpPr txBox="1"/>
      </xdr:nvSpPr>
      <xdr:spPr>
        <a:xfrm>
          <a:off x="3048000" y="20592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10</xdr:col>
      <xdr:colOff>326572</xdr:colOff>
      <xdr:row>11</xdr:row>
      <xdr:rowOff>108857</xdr:rowOff>
    </xdr:from>
    <xdr:ext cx="184731" cy="264560"/>
    <xdr:sp macro="" textlink="">
      <xdr:nvSpPr>
        <xdr:cNvPr id="35" name="TextBox 34"/>
        <xdr:cNvSpPr txBox="1"/>
      </xdr:nvSpPr>
      <xdr:spPr>
        <a:xfrm>
          <a:off x="6404429" y="21045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544286</xdr:colOff>
      <xdr:row>9</xdr:row>
      <xdr:rowOff>108857</xdr:rowOff>
    </xdr:from>
    <xdr:to>
      <xdr:col>7</xdr:col>
      <xdr:colOff>562429</xdr:colOff>
      <xdr:row>12</xdr:row>
      <xdr:rowOff>127000</xdr:rowOff>
    </xdr:to>
    <xdr:sp macro="" textlink="Kpi!B7">
      <xdr:nvSpPr>
        <xdr:cNvPr id="36" name="Flowchart: Alternate Process 35"/>
        <xdr:cNvSpPr/>
      </xdr:nvSpPr>
      <xdr:spPr>
        <a:xfrm>
          <a:off x="4191000" y="1741714"/>
          <a:ext cx="625929" cy="562429"/>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71EDE7A-58B6-48AA-9423-D92F4F4D8A7C}" type="TxLink">
            <a:rPr lang="en-US" sz="1600" b="1" i="0" u="none" strike="noStrike">
              <a:solidFill>
                <a:srgbClr val="000000"/>
              </a:solidFill>
              <a:latin typeface="Calibri"/>
              <a:ea typeface="Calibri"/>
              <a:cs typeface="Calibri"/>
            </a:rPr>
            <a:pPr algn="ctr"/>
            <a:t>100</a:t>
          </a:fld>
          <a:endParaRPr lang="en-US" sz="1600" b="1"/>
        </a:p>
      </xdr:txBody>
    </xdr:sp>
    <xdr:clientData/>
  </xdr:twoCellAnchor>
  <xdr:twoCellAnchor>
    <xdr:from>
      <xdr:col>11</xdr:col>
      <xdr:colOff>252186</xdr:colOff>
      <xdr:row>9</xdr:row>
      <xdr:rowOff>107043</xdr:rowOff>
    </xdr:from>
    <xdr:to>
      <xdr:col>12</xdr:col>
      <xdr:colOff>270329</xdr:colOff>
      <xdr:row>12</xdr:row>
      <xdr:rowOff>125186</xdr:rowOff>
    </xdr:to>
    <xdr:sp macro="" textlink="Kpi!B12">
      <xdr:nvSpPr>
        <xdr:cNvPr id="37" name="Flowchart: Alternate Process 36"/>
        <xdr:cNvSpPr/>
      </xdr:nvSpPr>
      <xdr:spPr>
        <a:xfrm>
          <a:off x="6937829" y="1739900"/>
          <a:ext cx="625929" cy="562429"/>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DF1E82B-53FE-4578-AD74-B316EC00F832}" type="TxLink">
            <a:rPr lang="en-US" sz="1600" b="1" i="0" u="none" strike="noStrike">
              <a:solidFill>
                <a:srgbClr val="000000"/>
              </a:solidFill>
              <a:latin typeface="Calibri"/>
              <a:ea typeface="Calibri"/>
              <a:cs typeface="Calibri"/>
            </a:rPr>
            <a:pPr algn="ctr"/>
            <a:t>94.2</a:t>
          </a:fld>
          <a:endParaRPr lang="en-US" sz="1600" b="1"/>
        </a:p>
      </xdr:txBody>
    </xdr:sp>
    <xdr:clientData/>
  </xdr:twoCellAnchor>
  <xdr:twoCellAnchor>
    <xdr:from>
      <xdr:col>15</xdr:col>
      <xdr:colOff>540658</xdr:colOff>
      <xdr:row>9</xdr:row>
      <xdr:rowOff>105228</xdr:rowOff>
    </xdr:from>
    <xdr:to>
      <xdr:col>16</xdr:col>
      <xdr:colOff>558802</xdr:colOff>
      <xdr:row>12</xdr:row>
      <xdr:rowOff>123371</xdr:rowOff>
    </xdr:to>
    <xdr:sp macro="" textlink="Kpi!B17">
      <xdr:nvSpPr>
        <xdr:cNvPr id="38" name="Flowchart: Alternate Process 37"/>
        <xdr:cNvSpPr/>
      </xdr:nvSpPr>
      <xdr:spPr>
        <a:xfrm>
          <a:off x="9657444" y="1738085"/>
          <a:ext cx="625929" cy="562429"/>
        </a:xfrm>
        <a:prstGeom prst="flowChartAlternate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199FBFA-CF1D-45DB-805D-C8630FC8FFF0}" type="TxLink">
            <a:rPr lang="en-US" sz="1600" b="1" i="0" u="none" strike="noStrike">
              <a:solidFill>
                <a:srgbClr val="000000"/>
              </a:solidFill>
              <a:latin typeface="Calibri"/>
              <a:ea typeface="Calibri"/>
              <a:cs typeface="Calibri"/>
            </a:rPr>
            <a:pPr algn="ctr"/>
            <a:t>97.8</a:t>
          </a:fld>
          <a:endParaRPr lang="en-US" sz="1600" b="1"/>
        </a:p>
      </xdr:txBody>
    </xdr:sp>
    <xdr:clientData/>
  </xdr:twoCellAnchor>
  <xdr:twoCellAnchor editAs="oneCell">
    <xdr:from>
      <xdr:col>17</xdr:col>
      <xdr:colOff>421824</xdr:colOff>
      <xdr:row>6</xdr:row>
      <xdr:rowOff>172360</xdr:rowOff>
    </xdr:from>
    <xdr:to>
      <xdr:col>19</xdr:col>
      <xdr:colOff>598714</xdr:colOff>
      <xdr:row>12</xdr:row>
      <xdr:rowOff>42638</xdr:rowOff>
    </xdr:to>
    <mc:AlternateContent xmlns:mc="http://schemas.openxmlformats.org/markup-compatibility/2006" xmlns:a14="http://schemas.microsoft.com/office/drawing/2010/main">
      <mc:Choice Requires="a14">
        <xdr:graphicFrame macro="">
          <xdr:nvGraphicFramePr>
            <xdr:cNvPr id="39" name="Institution_Type 1"/>
            <xdr:cNvGraphicFramePr/>
          </xdr:nvGraphicFramePr>
          <xdr:xfrm>
            <a:off x="0" y="0"/>
            <a:ext cx="0" cy="0"/>
          </xdr:xfrm>
          <a:graphic>
            <a:graphicData uri="http://schemas.microsoft.com/office/drawing/2010/slicer">
              <sle:slicer xmlns:sle="http://schemas.microsoft.com/office/drawing/2010/slicer" name="Institution_Type 1"/>
            </a:graphicData>
          </a:graphic>
        </xdr:graphicFrame>
      </mc:Choice>
      <mc:Fallback xmlns="">
        <xdr:sp macro="" textlink="">
          <xdr:nvSpPr>
            <xdr:cNvPr id="0" name=""/>
            <xdr:cNvSpPr>
              <a:spLocks noTextEdit="1"/>
            </xdr:cNvSpPr>
          </xdr:nvSpPr>
          <xdr:spPr>
            <a:xfrm>
              <a:off x="10754181" y="1260931"/>
              <a:ext cx="1392462" cy="95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417287</xdr:colOff>
      <xdr:row>12</xdr:row>
      <xdr:rowOff>145142</xdr:rowOff>
    </xdr:from>
    <xdr:to>
      <xdr:col>19</xdr:col>
      <xdr:colOff>607784</xdr:colOff>
      <xdr:row>25</xdr:row>
      <xdr:rowOff>63500</xdr:rowOff>
    </xdr:to>
    <mc:AlternateContent xmlns:mc="http://schemas.openxmlformats.org/markup-compatibility/2006" xmlns:a14="http://schemas.microsoft.com/office/drawing/2010/main">
      <mc:Choice Requires="a14">
        <xdr:graphicFrame macro="">
          <xdr:nvGraphicFramePr>
            <xdr:cNvPr id="40"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749644" y="2322285"/>
              <a:ext cx="1406069" cy="2276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54429</xdr:colOff>
      <xdr:row>2</xdr:row>
      <xdr:rowOff>117931</xdr:rowOff>
    </xdr:from>
    <xdr:to>
      <xdr:col>3</xdr:col>
      <xdr:colOff>154215</xdr:colOff>
      <xdr:row>7</xdr:row>
      <xdr:rowOff>85543</xdr:rowOff>
    </xdr:to>
    <xdr:pic>
      <xdr:nvPicPr>
        <xdr:cNvPr id="41" name="Picture 40"/>
        <xdr:cNvPicPr>
          <a:picLocks noChangeAspect="1"/>
        </xdr:cNvPicPr>
      </xdr:nvPicPr>
      <xdr:blipFill>
        <a:blip xmlns:r="http://schemas.openxmlformats.org/officeDocument/2006/relationships" r:embed="rId7"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662215" y="480788"/>
          <a:ext cx="1315357" cy="874755"/>
        </a:xfrm>
        <a:prstGeom prst="rect">
          <a:avLst/>
        </a:prstGeom>
      </xdr:spPr>
    </xdr:pic>
    <xdr:clientData/>
  </xdr:twoCellAnchor>
  <xdr:twoCellAnchor editAs="oneCell">
    <xdr:from>
      <xdr:col>17</xdr:col>
      <xdr:colOff>480786</xdr:colOff>
      <xdr:row>3</xdr:row>
      <xdr:rowOff>27214</xdr:rowOff>
    </xdr:from>
    <xdr:to>
      <xdr:col>18</xdr:col>
      <xdr:colOff>517071</xdr:colOff>
      <xdr:row>6</xdr:row>
      <xdr:rowOff>127000</xdr:rowOff>
    </xdr:to>
    <xdr:pic>
      <xdr:nvPicPr>
        <xdr:cNvPr id="42" name="Picture 41"/>
        <xdr:cNvPicPr>
          <a:picLocks noChangeAspect="1"/>
        </xdr:cNvPicPr>
      </xdr:nvPicPr>
      <xdr:blipFill>
        <a:blip xmlns:r="http://schemas.openxmlformats.org/officeDocument/2006/relationships" r:embed="rId8"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0813143" y="571500"/>
          <a:ext cx="644071" cy="644071"/>
        </a:xfrm>
        <a:prstGeom prst="rect">
          <a:avLst/>
        </a:prstGeom>
      </xdr:spPr>
    </xdr:pic>
    <xdr:clientData/>
  </xdr:twoCellAnchor>
  <xdr:twoCellAnchor editAs="oneCell">
    <xdr:from>
      <xdr:col>4</xdr:col>
      <xdr:colOff>36286</xdr:colOff>
      <xdr:row>2</xdr:row>
      <xdr:rowOff>9072</xdr:rowOff>
    </xdr:from>
    <xdr:to>
      <xdr:col>4</xdr:col>
      <xdr:colOff>407981</xdr:colOff>
      <xdr:row>4</xdr:row>
      <xdr:rowOff>18144</xdr:rowOff>
    </xdr:to>
    <xdr:pic>
      <xdr:nvPicPr>
        <xdr:cNvPr id="43" name="Picture 42"/>
        <xdr:cNvPicPr>
          <a:picLocks noChangeAspect="1"/>
        </xdr:cNvPicPr>
      </xdr:nvPicPr>
      <xdr:blipFill>
        <a:blip xmlns:r="http://schemas.openxmlformats.org/officeDocument/2006/relationships" r:embed="rId9"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2467429" y="371929"/>
          <a:ext cx="371695" cy="371929"/>
        </a:xfrm>
        <a:prstGeom prst="rect">
          <a:avLst/>
        </a:prstGeom>
      </xdr:spPr>
    </xdr:pic>
    <xdr:clientData/>
  </xdr:twoCellAnchor>
  <xdr:twoCellAnchor editAs="oneCell">
    <xdr:from>
      <xdr:col>16</xdr:col>
      <xdr:colOff>244928</xdr:colOff>
      <xdr:row>2</xdr:row>
      <xdr:rowOff>9072</xdr:rowOff>
    </xdr:from>
    <xdr:to>
      <xdr:col>17</xdr:col>
      <xdr:colOff>8837</xdr:colOff>
      <xdr:row>4</xdr:row>
      <xdr:rowOff>18144</xdr:rowOff>
    </xdr:to>
    <xdr:pic>
      <xdr:nvPicPr>
        <xdr:cNvPr id="44" name="Picture 43"/>
        <xdr:cNvPicPr>
          <a:picLocks noChangeAspect="1"/>
        </xdr:cNvPicPr>
      </xdr:nvPicPr>
      <xdr:blipFill>
        <a:blip xmlns:r="http://schemas.openxmlformats.org/officeDocument/2006/relationships" r:embed="rId9"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969499" y="371929"/>
          <a:ext cx="371695" cy="371929"/>
        </a:xfrm>
        <a:prstGeom prst="rect">
          <a:avLst/>
        </a:prstGeom>
      </xdr:spPr>
    </xdr:pic>
    <xdr:clientData/>
  </xdr:twoCellAnchor>
  <xdr:twoCellAnchor editAs="oneCell">
    <xdr:from>
      <xdr:col>18</xdr:col>
      <xdr:colOff>571501</xdr:colOff>
      <xdr:row>3</xdr:row>
      <xdr:rowOff>18144</xdr:rowOff>
    </xdr:from>
    <xdr:to>
      <xdr:col>19</xdr:col>
      <xdr:colOff>526143</xdr:colOff>
      <xdr:row>6</xdr:row>
      <xdr:rowOff>36287</xdr:rowOff>
    </xdr:to>
    <xdr:pic>
      <xdr:nvPicPr>
        <xdr:cNvPr id="45" name="Picture 44"/>
        <xdr:cNvPicPr>
          <a:picLocks noChangeAspect="1"/>
        </xdr:cNvPicPr>
      </xdr:nvPicPr>
      <xdr:blipFill>
        <a:blip xmlns:r="http://schemas.openxmlformats.org/officeDocument/2006/relationships" r:embed="rId10"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1511644" y="562430"/>
          <a:ext cx="562428" cy="562428"/>
        </a:xfrm>
        <a:prstGeom prst="rect">
          <a:avLst/>
        </a:prstGeom>
      </xdr:spPr>
    </xdr:pic>
    <xdr:clientData/>
  </xdr:twoCellAnchor>
  <xdr:twoCellAnchor>
    <xdr:from>
      <xdr:col>13</xdr:col>
      <xdr:colOff>562962</xdr:colOff>
      <xdr:row>17</xdr:row>
      <xdr:rowOff>138737</xdr:rowOff>
    </xdr:from>
    <xdr:to>
      <xdr:col>16</xdr:col>
      <xdr:colOff>254533</xdr:colOff>
      <xdr:row>22</xdr:row>
      <xdr:rowOff>184094</xdr:rowOff>
    </xdr:to>
    <xdr:sp macro="" textlink="">
      <xdr:nvSpPr>
        <xdr:cNvPr id="5" name="Rectangle 4"/>
        <xdr:cNvSpPr/>
      </xdr:nvSpPr>
      <xdr:spPr>
        <a:xfrm>
          <a:off x="8526609" y="3313737"/>
          <a:ext cx="1529336" cy="9791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count</a:t>
          </a:r>
          <a:r>
            <a:rPr lang="en-US" sz="1600" b="1" baseline="0">
              <a:solidFill>
                <a:schemeClr val="tx1"/>
              </a:solidFill>
            </a:rPr>
            <a:t> of Universities by Type</a:t>
          </a:r>
          <a:endParaRPr lang="en-US" sz="16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77.582560995368" createdVersion="6" refreshedVersion="6" minRefreshableVersion="3" recordCount="50">
  <cacheSource type="worksheet">
    <worksheetSource name="US_Top_50_Universities_2026"/>
  </cacheSource>
  <cacheFields count="8">
    <cacheField name="University_Name" numFmtId="0">
      <sharedItems count="50">
        <s v="Massachusetts Institute of Technology (MIT)"/>
        <s v="Columbia University"/>
        <s v="Princeton University"/>
        <s v="Stanford University"/>
        <s v="University of California, Berkeley"/>
        <s v="Harvard University"/>
        <s v="Williams College"/>
        <s v="Johns Hopkins University"/>
        <s v="Yale University"/>
        <s v="University of Pennsylvania"/>
        <s v="Vanderbilt University"/>
        <s v="Rice University"/>
        <s v="University of Chicago"/>
        <s v="Cornell University"/>
        <s v="University of California, Los Angeles (UCLA)"/>
        <s v="Northwestern University"/>
        <s v="Dartmouth College"/>
        <s v="Brown University"/>
        <s v="Amherst College"/>
        <s v="University of California, San Diego"/>
        <s v="University of Michigan, Ann Arbor"/>
        <s v="Duke University"/>
        <s v="Swarthmore College"/>
        <s v="California Institute of Technology (Caltech)"/>
        <s v="Washington University in St. Louis"/>
        <s v="Claremont McKenna College"/>
        <s v="Emory University"/>
        <s v="University of Southern California (USC)"/>
        <s v="Wellesley College"/>
        <s v="University of Florida"/>
        <s v="University of California, Irvine"/>
        <s v="Georgia Institute of Technology (Georgia Tech)"/>
        <s v="University of Notre Dame"/>
        <s v="University of Virginia"/>
        <s v="University of North Carolina, Chapel Hill"/>
        <s v="Pomona College"/>
        <s v="University of Maryland, College Park"/>
        <s v="University of Illinois, Urbana-Champaign"/>
        <s v="Bowdoin College"/>
        <s v="Brigham Young University"/>
        <s v="Georgetown University"/>
        <s v="University of California, Santa Barbara"/>
        <s v="Carnegie Mellon University"/>
        <s v="University of California, Davis"/>
        <s v="Boston University"/>
        <s v="University of Texas at Austin"/>
        <s v="Washington and Lee University"/>
        <s v="Colgate University"/>
        <s v="New York University (NYU)"/>
        <s v="University of Washington, Seattle"/>
      </sharedItems>
    </cacheField>
    <cacheField name="National_Rank" numFmtId="0">
      <sharedItems containsSemiMixedTypes="0" containsString="0" containsNumber="1" containsInteger="1" minValue="1" maxValue="50"/>
    </cacheField>
    <cacheField name="Founded_Year" numFmtId="0">
      <sharedItems containsSemiMixedTypes="0" containsString="0" containsNumber="1" containsInteger="1" minValue="1636" maxValue="1965"/>
    </cacheField>
    <cacheField name="Institution_Type" numFmtId="0">
      <sharedItems count="2">
        <s v="Private"/>
        <s v="Public"/>
      </sharedItems>
    </cacheField>
    <cacheField name="State" numFmtId="0">
      <sharedItems count="23">
        <s v="MA"/>
        <s v="NY"/>
        <s v="NJ"/>
        <s v="CA"/>
        <s v="MD"/>
        <s v="CT"/>
        <s v="PA"/>
        <s v="TN"/>
        <s v="TX"/>
        <s v="IL"/>
        <s v="NH"/>
        <s v="RI"/>
        <s v="MI"/>
        <s v="NC"/>
        <s v="MO"/>
        <s v="GA"/>
        <s v="FL"/>
        <s v="IN"/>
        <s v="VA"/>
        <s v="ME"/>
        <s v="UT"/>
        <s v="DC"/>
        <s v="WA"/>
      </sharedItems>
    </cacheField>
    <cacheField name="Research_Impact_Score" numFmtId="0">
      <sharedItems containsSemiMixedTypes="0" containsString="0" containsNumber="1" minValue="28.5" maxValue="100" count="44">
        <n v="100"/>
        <n v="95.9"/>
        <n v="99"/>
        <n v="99.5"/>
        <n v="98.9"/>
        <n v="45.2"/>
        <n v="96.3"/>
        <n v="97.2"/>
        <n v="96.1"/>
        <n v="82.1"/>
        <n v="85.4"/>
        <n v="96.8"/>
        <n v="95.6"/>
        <n v="96.9"/>
        <n v="78.5"/>
        <n v="88.2"/>
        <n v="38.4"/>
        <n v="97.1"/>
        <n v="93.8"/>
        <n v="95.4"/>
        <n v="40.1"/>
        <n v="89.2"/>
        <n v="35.200000000000003"/>
        <n v="85.7"/>
        <n v="91.5"/>
        <n v="32.1"/>
        <n v="88.4"/>
        <n v="89.1"/>
        <n v="90.4"/>
        <n v="82.5"/>
        <n v="87.3"/>
        <n v="92.1"/>
        <n v="34.5"/>
        <n v="86.4"/>
        <n v="85.3"/>
        <n v="30.1"/>
        <n v="78.400000000000006"/>
        <n v="91.2"/>
        <n v="88.7"/>
        <n v="90.1"/>
        <n v="28.5"/>
        <n v="30.2"/>
        <n v="94.3"/>
        <n v="97.6"/>
      </sharedItems>
    </cacheField>
    <cacheField name="Intl_Student_Ratio" numFmtId="0">
      <sharedItems containsSemiMixedTypes="0" containsString="0" containsNumber="1" minValue="4.2" maxValue="94.2"/>
    </cacheField>
    <cacheField name="Employment_Rate" numFmtId="0">
      <sharedItems containsSemiMixedTypes="0" containsString="0" containsNumber="1" minValue="81.900000000000006" maxValue="97.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x v="0"/>
    <n v="1"/>
    <n v="1861"/>
    <x v="0"/>
    <x v="0"/>
    <x v="0"/>
    <n v="91.6"/>
    <n v="96.2"/>
  </r>
  <r>
    <x v="1"/>
    <n v="2"/>
    <n v="1754"/>
    <x v="0"/>
    <x v="1"/>
    <x v="1"/>
    <n v="83.7"/>
    <n v="92.1"/>
  </r>
  <r>
    <x v="2"/>
    <n v="3"/>
    <n v="1746"/>
    <x v="0"/>
    <x v="2"/>
    <x v="2"/>
    <n v="70"/>
    <n v="94.5"/>
  </r>
  <r>
    <x v="3"/>
    <n v="4"/>
    <n v="1891"/>
    <x v="0"/>
    <x v="3"/>
    <x v="3"/>
    <n v="73.5"/>
    <n v="97.8"/>
  </r>
  <r>
    <x v="4"/>
    <n v="5"/>
    <n v="1868"/>
    <x v="1"/>
    <x v="3"/>
    <x v="4"/>
    <n v="70.599999999999994"/>
    <n v="91.4"/>
  </r>
  <r>
    <x v="5"/>
    <n v="6"/>
    <n v="1636"/>
    <x v="0"/>
    <x v="0"/>
    <x v="4"/>
    <n v="81.400000000000006"/>
    <n v="95"/>
  </r>
  <r>
    <x v="6"/>
    <n v="7"/>
    <n v="1793"/>
    <x v="0"/>
    <x v="0"/>
    <x v="5"/>
    <n v="8.5"/>
    <n v="89.1"/>
  </r>
  <r>
    <x v="7"/>
    <n v="8"/>
    <n v="1876"/>
    <x v="0"/>
    <x v="4"/>
    <x v="6"/>
    <n v="94.2"/>
    <n v="90.5"/>
  </r>
  <r>
    <x v="8"/>
    <n v="9"/>
    <n v="1701"/>
    <x v="0"/>
    <x v="5"/>
    <x v="7"/>
    <n v="72.7"/>
    <n v="93.3"/>
  </r>
  <r>
    <x v="9"/>
    <n v="10"/>
    <n v="1740"/>
    <x v="0"/>
    <x v="6"/>
    <x v="8"/>
    <n v="76.3"/>
    <n v="94.8"/>
  </r>
  <r>
    <x v="10"/>
    <n v="11"/>
    <n v="1873"/>
    <x v="0"/>
    <x v="7"/>
    <x v="9"/>
    <n v="15.2"/>
    <n v="88.5"/>
  </r>
  <r>
    <x v="11"/>
    <n v="12"/>
    <n v="1912"/>
    <x v="0"/>
    <x v="8"/>
    <x v="10"/>
    <n v="25.1"/>
    <n v="87.2"/>
  </r>
  <r>
    <x v="12"/>
    <n v="13"/>
    <n v="1890"/>
    <x v="0"/>
    <x v="9"/>
    <x v="11"/>
    <n v="92.8"/>
    <n v="91.2"/>
  </r>
  <r>
    <x v="13"/>
    <n v="14"/>
    <n v="1865"/>
    <x v="0"/>
    <x v="1"/>
    <x v="1"/>
    <n v="75.7"/>
    <n v="92.6"/>
  </r>
  <r>
    <x v="14"/>
    <n v="15"/>
    <n v="1919"/>
    <x v="1"/>
    <x v="3"/>
    <x v="12"/>
    <n v="69.2"/>
    <n v="89.4"/>
  </r>
  <r>
    <x v="15"/>
    <n v="16"/>
    <n v="1851"/>
    <x v="0"/>
    <x v="9"/>
    <x v="13"/>
    <n v="71"/>
    <n v="90.7"/>
  </r>
  <r>
    <x v="16"/>
    <n v="17"/>
    <n v="1769"/>
    <x v="0"/>
    <x v="10"/>
    <x v="14"/>
    <n v="14.8"/>
    <n v="91"/>
  </r>
  <r>
    <x v="17"/>
    <n v="18"/>
    <n v="1764"/>
    <x v="0"/>
    <x v="11"/>
    <x v="15"/>
    <n v="21.3"/>
    <n v="89.9"/>
  </r>
  <r>
    <x v="18"/>
    <n v="19"/>
    <n v="1821"/>
    <x v="0"/>
    <x v="0"/>
    <x v="16"/>
    <n v="10.199999999999999"/>
    <n v="87.5"/>
  </r>
  <r>
    <x v="19"/>
    <n v="20"/>
    <n v="1960"/>
    <x v="1"/>
    <x v="3"/>
    <x v="17"/>
    <n v="71.3"/>
    <n v="86.8"/>
  </r>
  <r>
    <x v="20"/>
    <n v="21"/>
    <n v="1817"/>
    <x v="1"/>
    <x v="12"/>
    <x v="18"/>
    <n v="65.8"/>
    <n v="90.2"/>
  </r>
  <r>
    <x v="21"/>
    <n v="22"/>
    <n v="1838"/>
    <x v="0"/>
    <x v="13"/>
    <x v="19"/>
    <n v="74.2"/>
    <n v="92.4"/>
  </r>
  <r>
    <x v="22"/>
    <n v="23"/>
    <n v="1864"/>
    <x v="0"/>
    <x v="6"/>
    <x v="20"/>
    <n v="12.1"/>
    <n v="86.4"/>
  </r>
  <r>
    <x v="23"/>
    <n v="24"/>
    <n v="1891"/>
    <x v="0"/>
    <x v="3"/>
    <x v="11"/>
    <n v="90.7"/>
    <n v="95.1"/>
  </r>
  <r>
    <x v="24"/>
    <n v="25"/>
    <n v="1853"/>
    <x v="0"/>
    <x v="14"/>
    <x v="21"/>
    <n v="22.4"/>
    <n v="88.9"/>
  </r>
  <r>
    <x v="25"/>
    <n v="26"/>
    <n v="1946"/>
    <x v="0"/>
    <x v="3"/>
    <x v="22"/>
    <n v="15.6"/>
    <n v="93.1"/>
  </r>
  <r>
    <x v="26"/>
    <n v="27"/>
    <n v="1836"/>
    <x v="0"/>
    <x v="15"/>
    <x v="23"/>
    <n v="19.8"/>
    <n v="87.4"/>
  </r>
  <r>
    <x v="27"/>
    <n v="28"/>
    <n v="1880"/>
    <x v="0"/>
    <x v="3"/>
    <x v="24"/>
    <n v="25.4"/>
    <n v="89.7"/>
  </r>
  <r>
    <x v="28"/>
    <n v="29"/>
    <n v="1870"/>
    <x v="0"/>
    <x v="0"/>
    <x v="25"/>
    <n v="12.5"/>
    <n v="85.2"/>
  </r>
  <r>
    <x v="29"/>
    <n v="30"/>
    <n v="1853"/>
    <x v="1"/>
    <x v="16"/>
    <x v="26"/>
    <n v="10.199999999999999"/>
    <n v="84.1"/>
  </r>
  <r>
    <x v="30"/>
    <n v="31"/>
    <n v="1965"/>
    <x v="1"/>
    <x v="3"/>
    <x v="27"/>
    <n v="21.4"/>
    <n v="83.5"/>
  </r>
  <r>
    <x v="31"/>
    <n v="32"/>
    <n v="1885"/>
    <x v="1"/>
    <x v="15"/>
    <x v="28"/>
    <n v="81.5"/>
    <n v="94.2"/>
  </r>
  <r>
    <x v="32"/>
    <n v="33"/>
    <n v="1842"/>
    <x v="0"/>
    <x v="17"/>
    <x v="29"/>
    <n v="11.4"/>
    <n v="92.8"/>
  </r>
  <r>
    <x v="33"/>
    <n v="34"/>
    <n v="1819"/>
    <x v="1"/>
    <x v="18"/>
    <x v="30"/>
    <n v="14.1"/>
    <n v="88.6"/>
  </r>
  <r>
    <x v="34"/>
    <n v="35"/>
    <n v="1789"/>
    <x v="1"/>
    <x v="13"/>
    <x v="31"/>
    <n v="15.2"/>
    <n v="86.4"/>
  </r>
  <r>
    <x v="35"/>
    <n v="36"/>
    <n v="1887"/>
    <x v="0"/>
    <x v="3"/>
    <x v="32"/>
    <n v="11.8"/>
    <n v="87.9"/>
  </r>
  <r>
    <x v="36"/>
    <n v="37"/>
    <n v="1856"/>
    <x v="1"/>
    <x v="4"/>
    <x v="33"/>
    <n v="18.2"/>
    <n v="82.1"/>
  </r>
  <r>
    <x v="37"/>
    <n v="38"/>
    <n v="1867"/>
    <x v="1"/>
    <x v="9"/>
    <x v="34"/>
    <n v="62.3"/>
    <n v="87.5"/>
  </r>
  <r>
    <x v="38"/>
    <n v="39"/>
    <n v="1794"/>
    <x v="0"/>
    <x v="19"/>
    <x v="35"/>
    <n v="7.2"/>
    <n v="86"/>
  </r>
  <r>
    <x v="39"/>
    <n v="40"/>
    <n v="1875"/>
    <x v="0"/>
    <x v="20"/>
    <x v="5"/>
    <n v="5.0999999999999996"/>
    <n v="84.4"/>
  </r>
  <r>
    <x v="40"/>
    <n v="41"/>
    <n v="1789"/>
    <x v="0"/>
    <x v="21"/>
    <x v="36"/>
    <n v="18.899999999999999"/>
    <n v="90.3"/>
  </r>
  <r>
    <x v="41"/>
    <n v="42"/>
    <n v="1909"/>
    <x v="1"/>
    <x v="3"/>
    <x v="37"/>
    <n v="15.4"/>
    <n v="81.900000000000006"/>
  </r>
  <r>
    <x v="42"/>
    <n v="43"/>
    <n v="1900"/>
    <x v="0"/>
    <x v="6"/>
    <x v="2"/>
    <n v="84.3"/>
    <n v="93.7"/>
  </r>
  <r>
    <x v="43"/>
    <n v="44"/>
    <n v="1905"/>
    <x v="1"/>
    <x v="3"/>
    <x v="38"/>
    <n v="49.2"/>
    <n v="82.5"/>
  </r>
  <r>
    <x v="44"/>
    <n v="45"/>
    <n v="1839"/>
    <x v="0"/>
    <x v="0"/>
    <x v="9"/>
    <n v="74.7"/>
    <n v="85.9"/>
  </r>
  <r>
    <x v="45"/>
    <n v="46"/>
    <n v="1883"/>
    <x v="1"/>
    <x v="8"/>
    <x v="39"/>
    <n v="46.2"/>
    <n v="89.2"/>
  </r>
  <r>
    <x v="46"/>
    <n v="47"/>
    <n v="1749"/>
    <x v="0"/>
    <x v="18"/>
    <x v="40"/>
    <n v="4.2"/>
    <n v="91.5"/>
  </r>
  <r>
    <x v="47"/>
    <n v="48"/>
    <n v="1819"/>
    <x v="0"/>
    <x v="1"/>
    <x v="41"/>
    <n v="8.4"/>
    <n v="88.1"/>
  </r>
  <r>
    <x v="48"/>
    <n v="49"/>
    <n v="1831"/>
    <x v="0"/>
    <x v="1"/>
    <x v="42"/>
    <n v="74.099999999999994"/>
    <n v="87.4"/>
  </r>
  <r>
    <x v="49"/>
    <n v="50"/>
    <n v="1861"/>
    <x v="1"/>
    <x v="22"/>
    <x v="43"/>
    <n v="70.099999999999994"/>
    <n v="8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17:F23" firstHeaderRow="1" firstDataRow="1" firstDataCol="1"/>
  <pivotFields count="8">
    <pivotField axis="axisRow" showAll="0" measureFilter="1">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pivotField>
    <pivotField showAll="0"/>
    <pivotField dataField="1" showAll="0"/>
    <pivotField showAll="0"/>
    <pivotField showAll="0"/>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showAll="0"/>
  </pivotFields>
  <rowFields count="1">
    <field x="0"/>
  </rowFields>
  <rowItems count="6">
    <i>
      <x v="16"/>
    </i>
    <i>
      <x v="22"/>
    </i>
    <i>
      <x v="39"/>
    </i>
    <i>
      <x v="45"/>
    </i>
    <i>
      <x v="49"/>
    </i>
    <i t="grand">
      <x/>
    </i>
  </rowItems>
  <colItems count="1">
    <i/>
  </colItems>
  <dataFields count="1">
    <dataField name="Sum of Founded_Year" fld="2"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7:F45" firstHeaderRow="1" firstDataRow="1" firstDataCol="1"/>
  <pivotFields count="8">
    <pivotField axis="axisRow" showAll="0" measureFilter="1" sortType="ascending">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24">
        <item x="3"/>
        <item x="5"/>
        <item x="21"/>
        <item x="16"/>
        <item x="15"/>
        <item x="9"/>
        <item x="17"/>
        <item x="0"/>
        <item x="4"/>
        <item x="19"/>
        <item x="12"/>
        <item x="14"/>
        <item x="13"/>
        <item x="10"/>
        <item x="2"/>
        <item x="1"/>
        <item x="6"/>
        <item x="11"/>
        <item x="7"/>
        <item x="8"/>
        <item x="20"/>
        <item x="18"/>
        <item x="22"/>
        <item t="default"/>
      </items>
    </pivotField>
    <pivotField dataField="1"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showAll="0"/>
  </pivotFields>
  <rowFields count="1">
    <field x="0"/>
  </rowFields>
  <rowItems count="8">
    <i>
      <x v="43"/>
    </i>
    <i>
      <x v="16"/>
    </i>
    <i>
      <x v="26"/>
    </i>
    <i>
      <x v="22"/>
    </i>
    <i>
      <x v="6"/>
    </i>
    <i>
      <x v="24"/>
    </i>
    <i>
      <x v="18"/>
    </i>
    <i t="grand">
      <x/>
    </i>
  </rowItems>
  <colItems count="1">
    <i/>
  </colItems>
  <dataFields count="1">
    <dataField name="Sum of Research_Impact_Score" fld="5" baseField="0" baseItem="0"/>
  </dataFields>
  <pivotTableStyleInfo name="PivotStyleLight16" showRowHeaders="1" showColHeaders="1" showRowStripes="0" showColStripes="0" showLastColumn="1"/>
  <filters count="1">
    <filter fld="0" type="count" evalOrder="-1" id="7"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F7" firstHeaderRow="1" firstDataRow="1" firstDataCol="1"/>
  <pivotFields count="8">
    <pivotField axis="axisRow" showAll="0" measureFilter="1" sortType="descending">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3">
        <item x="0"/>
        <item x="1"/>
        <item t="default"/>
      </items>
    </pivotField>
    <pivotField showAll="0">
      <items count="24">
        <item x="3"/>
        <item x="5"/>
        <item x="21"/>
        <item x="16"/>
        <item x="15"/>
        <item x="9"/>
        <item x="17"/>
        <item x="0"/>
        <item x="4"/>
        <item x="19"/>
        <item x="12"/>
        <item x="14"/>
        <item x="13"/>
        <item x="10"/>
        <item x="2"/>
        <item x="1"/>
        <item x="6"/>
        <item x="11"/>
        <item x="7"/>
        <item x="8"/>
        <item x="20"/>
        <item x="18"/>
        <item x="22"/>
        <item t="default"/>
      </items>
    </pivotField>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showAll="0"/>
  </pivotFields>
  <rowFields count="1">
    <field x="0"/>
  </rowFields>
  <rowItems count="4">
    <i>
      <x v="22"/>
    </i>
    <i>
      <x v="9"/>
    </i>
    <i>
      <x v="18"/>
    </i>
    <i t="grand">
      <x/>
    </i>
  </rowItems>
  <colItems count="1">
    <i/>
  </colItems>
  <dataFields count="1">
    <dataField name="Min of National_Rank" fld="1" subtotal="min" baseField="0" baseItem="0"/>
  </dataFields>
  <chartFormats count="2">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B15" firstHeaderRow="1" firstDataRow="1" firstDataCol="1"/>
  <pivotFields count="8">
    <pivotField axis="axisRow" showAll="0" measureFilter="1">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pivotField>
    <pivotField showAll="0"/>
    <pivotField showAll="0"/>
    <pivotField showAll="0"/>
    <pivotField showAll="0"/>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dataField="1" showAll="0"/>
  </pivotFields>
  <rowFields count="1">
    <field x="0"/>
  </rowFields>
  <rowItems count="2">
    <i>
      <x v="24"/>
    </i>
    <i t="grand">
      <x/>
    </i>
  </rowItems>
  <colItems count="1">
    <i/>
  </colItems>
  <dataFields count="1">
    <dataField name="Sum of Employment_Rate" fld="7" baseField="0" baseItem="0"/>
  </dataFields>
  <pivotTableStyleInfo name="PivotStyleLight16" showRowHeaders="1" showColHeaders="1" showRowStripes="0" showColStripes="0" showLastColumn="1"/>
  <filters count="1">
    <filter fld="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7:A28" firstHeaderRow="1" firstDataRow="1" firstDataCol="0"/>
  <pivotFields count="8">
    <pivotField dataField="1" showAll="0">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pivotField>
    <pivotField showAll="0"/>
    <pivotField showAll="0"/>
    <pivotField showAll="0">
      <items count="3">
        <item x="0"/>
        <item x="1"/>
        <item t="default"/>
      </items>
    </pivotField>
    <pivotField showAll="0">
      <items count="24">
        <item x="3"/>
        <item x="5"/>
        <item x="21"/>
        <item x="16"/>
        <item x="15"/>
        <item x="9"/>
        <item x="17"/>
        <item x="0"/>
        <item x="4"/>
        <item x="19"/>
        <item x="12"/>
        <item x="14"/>
        <item x="13"/>
        <item x="10"/>
        <item x="2"/>
        <item x="1"/>
        <item x="6"/>
        <item x="11"/>
        <item x="7"/>
        <item x="8"/>
        <item x="20"/>
        <item x="18"/>
        <item x="22"/>
        <item t="default"/>
      </items>
    </pivotField>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showAll="0"/>
  </pivotFields>
  <rowItems count="1">
    <i/>
  </rowItems>
  <colItems count="1">
    <i/>
  </colItems>
  <dataFields count="1">
    <dataField name="Count of University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8:B10" firstHeaderRow="1" firstDataRow="1" firstDataCol="1"/>
  <pivotFields count="8">
    <pivotField axis="axisRow" showAll="0" measureFilter="1">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pivotField>
    <pivotField showAll="0"/>
    <pivotField showAll="0"/>
    <pivotField showAll="0"/>
    <pivotField showAll="0"/>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dataField="1" showAll="0"/>
    <pivotField showAll="0"/>
  </pivotFields>
  <rowFields count="1">
    <field x="0"/>
  </rowFields>
  <rowItems count="2">
    <i>
      <x v="17"/>
    </i>
    <i t="grand">
      <x/>
    </i>
  </rowItems>
  <colItems count="1">
    <i/>
  </colItems>
  <dataFields count="1">
    <dataField name="Sum of Intl_Student_Ratio" fld="6" baseField="0" baseItem="0"/>
  </dataField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7:F33" firstHeaderRow="1" firstDataRow="1" firstDataCol="1"/>
  <pivotFields count="8">
    <pivotField dataField="1" showAll="0">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pivotField>
    <pivotField showAll="0"/>
    <pivotField showAll="0"/>
    <pivotField showAll="0">
      <items count="3">
        <item x="0"/>
        <item x="1"/>
        <item t="default"/>
      </items>
    </pivotField>
    <pivotField axis="axisRow" showAll="0" measureFilter="1">
      <items count="24">
        <item x="3"/>
        <item x="5"/>
        <item x="21"/>
        <item x="16"/>
        <item x="15"/>
        <item x="9"/>
        <item x="17"/>
        <item x="0"/>
        <item x="4"/>
        <item x="19"/>
        <item x="12"/>
        <item x="14"/>
        <item x="13"/>
        <item x="10"/>
        <item x="2"/>
        <item x="1"/>
        <item x="6"/>
        <item x="11"/>
        <item x="7"/>
        <item x="8"/>
        <item x="20"/>
        <item x="18"/>
        <item x="22"/>
        <item t="default"/>
      </items>
    </pivotField>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showAll="0"/>
  </pivotFields>
  <rowFields count="1">
    <field x="4"/>
  </rowFields>
  <rowItems count="6">
    <i>
      <x/>
    </i>
    <i>
      <x v="5"/>
    </i>
    <i>
      <x v="7"/>
    </i>
    <i>
      <x v="15"/>
    </i>
    <i>
      <x v="16"/>
    </i>
    <i t="grand">
      <x/>
    </i>
  </rowItems>
  <colItems count="1">
    <i/>
  </colItems>
  <dataFields count="1">
    <dataField name="Count of University_Name" fld="0" subtotal="count" baseField="0" baseItem="0"/>
  </dataFields>
  <pivotTableStyleInfo name="PivotStyleLight16" showRowHeaders="1" showColHeaders="1" showRowStripes="0" showColStripes="0" showLastColumn="1"/>
  <filters count="1">
    <filter fld="4"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 firstHeaderRow="1" firstDataRow="1" firstDataCol="1"/>
  <pivotFields count="8">
    <pivotField axis="axisRow" showAll="0" measureFilter="1">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pivotField>
    <pivotField showAll="0"/>
    <pivotField showAll="0"/>
    <pivotField showAll="0"/>
    <pivotField showAll="0"/>
    <pivotField dataField="1"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showAll="0"/>
  </pivotFields>
  <rowFields count="1">
    <field x="0"/>
  </rowFields>
  <rowItems count="2">
    <i>
      <x v="18"/>
    </i>
    <i t="grand">
      <x/>
    </i>
  </rowItems>
  <colItems count="1">
    <i/>
  </colItems>
  <dataFields count="1">
    <dataField name="Sum of Research_Impact_Score" fld="5" baseField="0" baseItem="0"/>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0:B23" firstHeaderRow="1" firstDataRow="1" firstDataCol="1"/>
  <pivotFields count="8">
    <pivotField dataField="1" showAll="0">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pivotField>
    <pivotField showAll="0"/>
    <pivotField showAll="0"/>
    <pivotField axis="axisRow" showAll="0">
      <items count="3">
        <item x="0"/>
        <item x="1"/>
        <item t="default"/>
      </items>
    </pivotField>
    <pivotField showAll="0">
      <items count="24">
        <item x="3"/>
        <item x="5"/>
        <item x="21"/>
        <item x="16"/>
        <item x="15"/>
        <item x="9"/>
        <item x="17"/>
        <item x="0"/>
        <item x="4"/>
        <item x="19"/>
        <item x="12"/>
        <item x="14"/>
        <item x="13"/>
        <item x="10"/>
        <item x="2"/>
        <item x="1"/>
        <item x="6"/>
        <item x="11"/>
        <item x="7"/>
        <item x="8"/>
        <item x="20"/>
        <item x="18"/>
        <item x="22"/>
        <item t="default"/>
      </items>
    </pivotField>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showAll="0"/>
  </pivotFields>
  <rowFields count="1">
    <field x="3"/>
  </rowFields>
  <rowItems count="3">
    <i>
      <x/>
    </i>
    <i>
      <x v="1"/>
    </i>
    <i t="grand">
      <x/>
    </i>
  </rowItems>
  <colItems count="1">
    <i/>
  </colItems>
  <dataFields count="1">
    <dataField name="Count of University_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61:F69" firstHeaderRow="1" firstDataRow="1" firstDataCol="1"/>
  <pivotFields count="8">
    <pivotField axis="axisRow" showAll="0" measureFilter="1" sortType="ascending">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24">
        <item x="3"/>
        <item x="5"/>
        <item x="21"/>
        <item x="16"/>
        <item x="15"/>
        <item x="9"/>
        <item x="17"/>
        <item x="0"/>
        <item x="4"/>
        <item x="19"/>
        <item x="12"/>
        <item x="14"/>
        <item x="13"/>
        <item x="10"/>
        <item x="2"/>
        <item x="1"/>
        <item x="6"/>
        <item x="11"/>
        <item x="7"/>
        <item x="8"/>
        <item x="20"/>
        <item x="18"/>
        <item x="22"/>
        <item t="default"/>
      </items>
    </pivotField>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showAll="0"/>
    <pivotField dataField="1" showAll="0"/>
  </pivotFields>
  <rowFields count="1">
    <field x="0"/>
  </rowFields>
  <rowItems count="8">
    <i>
      <x v="15"/>
    </i>
    <i>
      <x v="22"/>
    </i>
    <i>
      <x v="39"/>
    </i>
    <i>
      <x v="16"/>
    </i>
    <i>
      <x v="5"/>
    </i>
    <i>
      <x v="18"/>
    </i>
    <i>
      <x v="24"/>
    </i>
    <i t="grand">
      <x/>
    </i>
  </rowItems>
  <colItems count="1">
    <i/>
  </colItems>
  <dataFields count="1">
    <dataField name="Sum of Employment_Rate" fld="7" baseField="0" baseItem="0"/>
  </dataFields>
  <pivotTableStyleInfo name="PivotStyleLight16" showRowHeaders="1" showColHeaders="1" showRowStripes="0" showColStripes="0" showLastColumn="1"/>
  <filters count="1">
    <filter fld="0" type="count" evalOrder="-1" id="9"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49:F57" firstHeaderRow="1" firstDataRow="1" firstDataCol="1"/>
  <pivotFields count="8">
    <pivotField axis="axisRow" showAll="0" measureFilter="1" sortType="ascending">
      <items count="51">
        <item x="18"/>
        <item x="44"/>
        <item x="38"/>
        <item x="39"/>
        <item x="17"/>
        <item x="23"/>
        <item x="42"/>
        <item x="25"/>
        <item x="47"/>
        <item x="1"/>
        <item x="13"/>
        <item x="16"/>
        <item x="21"/>
        <item x="26"/>
        <item x="40"/>
        <item x="31"/>
        <item x="5"/>
        <item x="7"/>
        <item x="0"/>
        <item x="48"/>
        <item x="15"/>
        <item x="35"/>
        <item x="2"/>
        <item x="11"/>
        <item x="3"/>
        <item x="22"/>
        <item x="4"/>
        <item x="43"/>
        <item x="30"/>
        <item x="14"/>
        <item x="19"/>
        <item x="41"/>
        <item x="12"/>
        <item x="29"/>
        <item x="37"/>
        <item x="36"/>
        <item x="20"/>
        <item x="34"/>
        <item x="32"/>
        <item x="9"/>
        <item x="27"/>
        <item x="45"/>
        <item x="33"/>
        <item x="49"/>
        <item x="10"/>
        <item x="46"/>
        <item x="24"/>
        <item x="28"/>
        <item x="6"/>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 showAll="0">
      <items count="24">
        <item x="3"/>
        <item x="5"/>
        <item x="21"/>
        <item x="16"/>
        <item x="15"/>
        <item x="9"/>
        <item x="17"/>
        <item x="0"/>
        <item x="4"/>
        <item x="19"/>
        <item x="12"/>
        <item x="14"/>
        <item x="13"/>
        <item x="10"/>
        <item x="2"/>
        <item x="1"/>
        <item x="6"/>
        <item x="11"/>
        <item x="7"/>
        <item x="8"/>
        <item x="20"/>
        <item x="18"/>
        <item x="22"/>
        <item t="default"/>
      </items>
    </pivotField>
    <pivotField showAll="0">
      <items count="45">
        <item x="40"/>
        <item x="35"/>
        <item x="41"/>
        <item x="25"/>
        <item x="32"/>
        <item x="22"/>
        <item x="16"/>
        <item x="20"/>
        <item x="5"/>
        <item x="36"/>
        <item x="14"/>
        <item x="9"/>
        <item x="29"/>
        <item x="34"/>
        <item x="10"/>
        <item x="23"/>
        <item x="33"/>
        <item x="30"/>
        <item x="15"/>
        <item x="26"/>
        <item x="38"/>
        <item x="27"/>
        <item x="21"/>
        <item x="39"/>
        <item x="28"/>
        <item x="37"/>
        <item x="24"/>
        <item x="31"/>
        <item x="18"/>
        <item x="42"/>
        <item x="19"/>
        <item x="12"/>
        <item x="1"/>
        <item x="8"/>
        <item x="6"/>
        <item x="11"/>
        <item x="13"/>
        <item x="17"/>
        <item x="7"/>
        <item x="43"/>
        <item x="4"/>
        <item x="2"/>
        <item x="3"/>
        <item x="0"/>
        <item t="default"/>
      </items>
    </pivotField>
    <pivotField dataField="1" showAll="0"/>
    <pivotField showAll="0"/>
  </pivotFields>
  <rowFields count="1">
    <field x="0"/>
  </rowFields>
  <rowItems count="8">
    <i>
      <x v="15"/>
    </i>
    <i>
      <x v="9"/>
    </i>
    <i>
      <x v="6"/>
    </i>
    <i>
      <x v="5"/>
    </i>
    <i>
      <x v="18"/>
    </i>
    <i>
      <x v="32"/>
    </i>
    <i>
      <x v="17"/>
    </i>
    <i t="grand">
      <x/>
    </i>
  </rowItems>
  <colItems count="1">
    <i/>
  </colItems>
  <dataFields count="1">
    <dataField name="Sum of Intl_Student_Ratio" fld="6" baseField="0" baseItem="0"/>
  </dataFields>
  <pivotTableStyleInfo name="PivotStyleLight16" showRowHeaders="1" showColHeaders="1" showRowStripes="0" showColStripes="0" showLastColumn="1"/>
  <filters count="1">
    <filter fld="0" type="count" evalOrder="-1" id="8"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9">
    <queryTableFields count="8">
      <queryTableField id="1" name="University_Name" tableColumnId="17"/>
      <queryTableField id="2" name="National_Rank" tableColumnId="18"/>
      <queryTableField id="3" name="Founded_Year" tableColumnId="19"/>
      <queryTableField id="4" name="Institution_Type" tableColumnId="20"/>
      <queryTableField id="5" name="State" tableColumnId="21"/>
      <queryTableField id="6" name="Research_Impact_Score" tableColumnId="22"/>
      <queryTableField id="7" name="Intl_Student_Ratio" tableColumnId="23"/>
      <queryTableField id="8" name="Employment_Rat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nstitution_Type" sourceName="Institution_Type">
  <pivotTables>
    <pivotTable tabId="1" name="PivotTable4"/>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1" name="PivotTable4"/>
  </pivotTables>
  <data>
    <tabular pivotCacheId="1">
      <items count="23">
        <i x="3" s="1"/>
        <i x="5" s="1"/>
        <i x="21" s="1"/>
        <i x="16" s="1"/>
        <i x="15" s="1"/>
        <i x="9" s="1"/>
        <i x="17" s="1"/>
        <i x="0" s="1"/>
        <i x="4" s="1"/>
        <i x="19" s="1"/>
        <i x="12" s="1"/>
        <i x="14" s="1"/>
        <i x="13" s="1"/>
        <i x="10" s="1"/>
        <i x="2" s="1"/>
        <i x="1" s="1"/>
        <i x="6" s="1"/>
        <i x="11" s="1"/>
        <i x="7" s="1"/>
        <i x="8" s="1"/>
        <i x="20" s="1"/>
        <i x="18"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nstitution_Type" cache="Slicer_Institution_Type" caption="Institution_Type" rowHeight="241300"/>
  <slicer name="State" cache="Slicer_State" caption="State" startItem="1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nstitution_Type 1" cache="Slicer_Institution_Type" caption="Institution_Type" style="SlicerStyleLight6" rowHeight="241300"/>
  <slicer name="State 1" cache="Slicer_State" caption="State"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US_Top_50_Universities_2026" displayName="US_Top_50_Universities_2026" ref="A1:H51" tableType="queryTable" totalsRowShown="0">
  <autoFilter ref="A1:H51"/>
  <sortState ref="A2:H51">
    <sortCondition ref="B1:B51"/>
  </sortState>
  <tableColumns count="8">
    <tableColumn id="17" uniqueName="17" name="University_Name" queryTableFieldId="1" dataDxfId="7"/>
    <tableColumn id="18" uniqueName="18" name="National_Rank" queryTableFieldId="2" dataDxfId="6"/>
    <tableColumn id="19" uniqueName="19" name="Founded_Year" queryTableFieldId="3" dataDxfId="5"/>
    <tableColumn id="20" uniqueName="20" name="Institution_Type" queryTableFieldId="4" dataDxfId="4"/>
    <tableColumn id="21" uniqueName="21" name="State" queryTableFieldId="5" dataDxfId="3"/>
    <tableColumn id="22" uniqueName="22" name="Research_Impact_Score" queryTableFieldId="6" dataDxfId="2"/>
    <tableColumn id="23" uniqueName="23" name="Intl_Student_Ratio" queryTableFieldId="7" dataDxfId="1"/>
    <tableColumn id="24" uniqueName="24" name="Employment_Rate" queryTableFieldId="8"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69"/>
  <sheetViews>
    <sheetView zoomScale="55" zoomScaleNormal="55" workbookViewId="0">
      <selection activeCell="L28" sqref="L28"/>
    </sheetView>
  </sheetViews>
  <sheetFormatPr defaultRowHeight="14.5" x14ac:dyDescent="0.35"/>
  <cols>
    <col min="1" max="1" width="23.08984375" customWidth="1"/>
    <col min="2" max="2" width="22.81640625" customWidth="1"/>
    <col min="5" max="5" width="38.1796875" customWidth="1"/>
    <col min="6" max="6" width="19.1796875" customWidth="1"/>
    <col min="7" max="7" width="19.54296875" bestFit="1" customWidth="1"/>
    <col min="8" max="8" width="38.1796875" bestFit="1" customWidth="1"/>
  </cols>
  <sheetData>
    <row r="3" spans="1:6" x14ac:dyDescent="0.35">
      <c r="A3" s="3" t="s">
        <v>83</v>
      </c>
      <c r="B3" t="s">
        <v>86</v>
      </c>
      <c r="E3" s="3" t="s">
        <v>83</v>
      </c>
      <c r="F3" t="s">
        <v>90</v>
      </c>
    </row>
    <row r="4" spans="1:6" x14ac:dyDescent="0.35">
      <c r="A4" s="4" t="s">
        <v>40</v>
      </c>
      <c r="B4" s="1">
        <v>100</v>
      </c>
      <c r="E4" s="4" t="s">
        <v>45</v>
      </c>
      <c r="F4" s="1">
        <v>3</v>
      </c>
    </row>
    <row r="5" spans="1:6" x14ac:dyDescent="0.35">
      <c r="A5" s="4" t="s">
        <v>84</v>
      </c>
      <c r="B5" s="1">
        <v>100</v>
      </c>
      <c r="E5" s="4" t="s">
        <v>25</v>
      </c>
      <c r="F5" s="1">
        <v>2</v>
      </c>
    </row>
    <row r="6" spans="1:6" x14ac:dyDescent="0.35">
      <c r="E6" s="4" t="s">
        <v>40</v>
      </c>
      <c r="F6" s="1">
        <v>1</v>
      </c>
    </row>
    <row r="7" spans="1:6" x14ac:dyDescent="0.35">
      <c r="A7" s="4" t="s">
        <v>40</v>
      </c>
      <c r="B7">
        <f>GETPIVOTDATA("Research_Impact_Score",$A$3,"University_Name","Massachusetts Institute of Technology (MIT)")</f>
        <v>100</v>
      </c>
      <c r="E7" s="4" t="s">
        <v>84</v>
      </c>
      <c r="F7" s="1">
        <v>1</v>
      </c>
    </row>
    <row r="8" spans="1:6" x14ac:dyDescent="0.35">
      <c r="A8" s="3" t="s">
        <v>83</v>
      </c>
      <c r="B8" t="s">
        <v>87</v>
      </c>
    </row>
    <row r="9" spans="1:6" x14ac:dyDescent="0.35">
      <c r="A9" s="4" t="s">
        <v>38</v>
      </c>
      <c r="B9" s="1">
        <v>94.2</v>
      </c>
    </row>
    <row r="10" spans="1:6" x14ac:dyDescent="0.35">
      <c r="A10" s="4" t="s">
        <v>84</v>
      </c>
      <c r="B10" s="1">
        <v>94.2</v>
      </c>
    </row>
    <row r="12" spans="1:6" x14ac:dyDescent="0.35">
      <c r="A12" s="4" t="s">
        <v>38</v>
      </c>
      <c r="B12">
        <f>GETPIVOTDATA("Intl_Student_Ratio",$A$8,"University_Name","Johns Hopkins University")</f>
        <v>94.2</v>
      </c>
    </row>
    <row r="13" spans="1:6" x14ac:dyDescent="0.35">
      <c r="A13" s="3" t="s">
        <v>83</v>
      </c>
      <c r="B13" t="s">
        <v>88</v>
      </c>
    </row>
    <row r="14" spans="1:6" x14ac:dyDescent="0.35">
      <c r="A14" s="4" t="s">
        <v>49</v>
      </c>
      <c r="B14" s="1">
        <v>97.8</v>
      </c>
    </row>
    <row r="15" spans="1:6" x14ac:dyDescent="0.35">
      <c r="A15" s="4" t="s">
        <v>84</v>
      </c>
      <c r="B15" s="1">
        <v>97.8</v>
      </c>
    </row>
    <row r="17" spans="1:6" x14ac:dyDescent="0.35">
      <c r="A17" s="4" t="s">
        <v>49</v>
      </c>
      <c r="B17">
        <f>GETPIVOTDATA("Employment_Rate",$A$13,"University_Name","Stanford University")</f>
        <v>97.8</v>
      </c>
      <c r="E17" s="3" t="s">
        <v>83</v>
      </c>
      <c r="F17" t="s">
        <v>89</v>
      </c>
    </row>
    <row r="18" spans="1:6" x14ac:dyDescent="0.35">
      <c r="E18" s="4" t="s">
        <v>37</v>
      </c>
      <c r="F18" s="1">
        <v>1636</v>
      </c>
    </row>
    <row r="19" spans="1:6" x14ac:dyDescent="0.35">
      <c r="E19" s="4" t="s">
        <v>45</v>
      </c>
      <c r="F19" s="1">
        <v>1746</v>
      </c>
    </row>
    <row r="20" spans="1:6" x14ac:dyDescent="0.35">
      <c r="A20" s="3" t="s">
        <v>83</v>
      </c>
      <c r="B20" t="s">
        <v>85</v>
      </c>
      <c r="E20" s="4" t="s">
        <v>67</v>
      </c>
      <c r="F20" s="1">
        <v>1740</v>
      </c>
    </row>
    <row r="21" spans="1:6" x14ac:dyDescent="0.35">
      <c r="A21" s="4" t="s">
        <v>9</v>
      </c>
      <c r="B21" s="1">
        <v>35</v>
      </c>
      <c r="E21" s="4" t="s">
        <v>78</v>
      </c>
      <c r="F21" s="1">
        <v>1749</v>
      </c>
    </row>
    <row r="22" spans="1:6" x14ac:dyDescent="0.35">
      <c r="A22" s="4" t="s">
        <v>36</v>
      </c>
      <c r="B22" s="1">
        <v>15</v>
      </c>
      <c r="E22" s="4" t="s">
        <v>81</v>
      </c>
      <c r="F22" s="1">
        <v>1701</v>
      </c>
    </row>
    <row r="23" spans="1:6" x14ac:dyDescent="0.35">
      <c r="A23" s="4" t="s">
        <v>84</v>
      </c>
      <c r="B23" s="1">
        <v>50</v>
      </c>
      <c r="E23" s="4" t="s">
        <v>84</v>
      </c>
      <c r="F23" s="1">
        <v>8572</v>
      </c>
    </row>
    <row r="27" spans="1:6" x14ac:dyDescent="0.35">
      <c r="A27" t="s">
        <v>85</v>
      </c>
      <c r="E27" s="3" t="s">
        <v>83</v>
      </c>
      <c r="F27" t="s">
        <v>85</v>
      </c>
    </row>
    <row r="28" spans="1:6" x14ac:dyDescent="0.35">
      <c r="A28" s="1">
        <v>50</v>
      </c>
      <c r="E28" s="4" t="s">
        <v>19</v>
      </c>
      <c r="F28" s="1">
        <v>11</v>
      </c>
    </row>
    <row r="29" spans="1:6" x14ac:dyDescent="0.35">
      <c r="E29" s="4" t="s">
        <v>43</v>
      </c>
      <c r="F29" s="1">
        <v>3</v>
      </c>
    </row>
    <row r="30" spans="1:6" x14ac:dyDescent="0.35">
      <c r="E30" s="4" t="s">
        <v>10</v>
      </c>
      <c r="F30" s="1">
        <v>6</v>
      </c>
    </row>
    <row r="31" spans="1:6" x14ac:dyDescent="0.35">
      <c r="E31" s="4" t="s">
        <v>24</v>
      </c>
      <c r="F31" s="1">
        <v>4</v>
      </c>
    </row>
    <row r="32" spans="1:6" x14ac:dyDescent="0.35">
      <c r="E32" s="4" t="s">
        <v>21</v>
      </c>
      <c r="F32" s="1">
        <v>3</v>
      </c>
    </row>
    <row r="33" spans="5:9" x14ac:dyDescent="0.35">
      <c r="E33" s="4" t="s">
        <v>84</v>
      </c>
      <c r="F33" s="1">
        <v>27</v>
      </c>
    </row>
    <row r="37" spans="5:9" x14ac:dyDescent="0.35">
      <c r="E37" s="3" t="s">
        <v>83</v>
      </c>
      <c r="F37" t="s">
        <v>86</v>
      </c>
      <c r="H37" s="5" t="s">
        <v>83</v>
      </c>
    </row>
    <row r="38" spans="5:9" x14ac:dyDescent="0.35">
      <c r="E38" s="4" t="s">
        <v>72</v>
      </c>
      <c r="F38" s="1">
        <v>97.6</v>
      </c>
      <c r="H38" s="4" t="s">
        <v>72</v>
      </c>
      <c r="I38">
        <f>GETPIVOTDATA("Research_Impact_Score",$E$37,"University_Name",H38)</f>
        <v>97.6</v>
      </c>
    </row>
    <row r="39" spans="5:9" x14ac:dyDescent="0.35">
      <c r="E39" s="4" t="s">
        <v>37</v>
      </c>
      <c r="F39" s="1">
        <v>98.9</v>
      </c>
      <c r="H39" s="4" t="s">
        <v>37</v>
      </c>
      <c r="I39">
        <f t="shared" ref="I39:I44" si="0">GETPIVOTDATA("Research_Impact_Score",$E$37,"University_Name",H39)</f>
        <v>98.9</v>
      </c>
    </row>
    <row r="40" spans="5:9" x14ac:dyDescent="0.35">
      <c r="E40" s="4" t="s">
        <v>51</v>
      </c>
      <c r="F40" s="1">
        <v>98.9</v>
      </c>
      <c r="H40" s="4" t="s">
        <v>51</v>
      </c>
      <c r="I40">
        <f t="shared" si="0"/>
        <v>98.9</v>
      </c>
    </row>
    <row r="41" spans="5:9" x14ac:dyDescent="0.35">
      <c r="E41" s="4" t="s">
        <v>45</v>
      </c>
      <c r="F41" s="1">
        <v>99</v>
      </c>
      <c r="H41" s="4" t="s">
        <v>45</v>
      </c>
      <c r="I41">
        <f t="shared" si="0"/>
        <v>99</v>
      </c>
    </row>
    <row r="42" spans="5:9" x14ac:dyDescent="0.35">
      <c r="E42" s="4" t="s">
        <v>20</v>
      </c>
      <c r="F42" s="1">
        <v>99</v>
      </c>
      <c r="H42" s="4" t="s">
        <v>20</v>
      </c>
      <c r="I42">
        <f t="shared" si="0"/>
        <v>99</v>
      </c>
    </row>
    <row r="43" spans="5:9" x14ac:dyDescent="0.35">
      <c r="E43" s="4" t="s">
        <v>49</v>
      </c>
      <c r="F43" s="1">
        <v>99.5</v>
      </c>
      <c r="H43" s="4" t="s">
        <v>49</v>
      </c>
      <c r="I43">
        <f t="shared" si="0"/>
        <v>99.5</v>
      </c>
    </row>
    <row r="44" spans="5:9" x14ac:dyDescent="0.35">
      <c r="E44" s="4" t="s">
        <v>40</v>
      </c>
      <c r="F44" s="1">
        <v>100</v>
      </c>
      <c r="H44" s="4" t="s">
        <v>40</v>
      </c>
      <c r="I44">
        <f t="shared" si="0"/>
        <v>100</v>
      </c>
    </row>
    <row r="45" spans="5:9" x14ac:dyDescent="0.35">
      <c r="E45" s="4" t="s">
        <v>84</v>
      </c>
      <c r="F45" s="1">
        <v>692.9</v>
      </c>
    </row>
    <row r="49" spans="5:9" x14ac:dyDescent="0.35">
      <c r="E49" s="3" t="s">
        <v>83</v>
      </c>
      <c r="F49" t="s">
        <v>87</v>
      </c>
    </row>
    <row r="50" spans="5:9" x14ac:dyDescent="0.35">
      <c r="E50" s="4" t="s">
        <v>35</v>
      </c>
      <c r="F50" s="1">
        <v>81.5</v>
      </c>
      <c r="H50" s="4" t="s">
        <v>35</v>
      </c>
      <c r="I50">
        <f>GETPIVOTDATA("Intl_Student_Ratio",$E$49,"University_Name",H50)</f>
        <v>81.5</v>
      </c>
    </row>
    <row r="51" spans="5:9" x14ac:dyDescent="0.35">
      <c r="E51" s="4" t="s">
        <v>25</v>
      </c>
      <c r="F51" s="1">
        <v>83.7</v>
      </c>
      <c r="H51" s="4" t="s">
        <v>25</v>
      </c>
      <c r="I51">
        <f t="shared" ref="I51:I56" si="1">GETPIVOTDATA("Intl_Student_Ratio",$E$49,"University_Name",H51)</f>
        <v>83.7</v>
      </c>
    </row>
    <row r="52" spans="5:9" x14ac:dyDescent="0.35">
      <c r="E52" s="4" t="s">
        <v>20</v>
      </c>
      <c r="F52" s="1">
        <v>84.3</v>
      </c>
      <c r="H52" s="4" t="s">
        <v>20</v>
      </c>
      <c r="I52">
        <f t="shared" si="1"/>
        <v>84.3</v>
      </c>
    </row>
    <row r="53" spans="5:9" x14ac:dyDescent="0.35">
      <c r="E53" s="4" t="s">
        <v>18</v>
      </c>
      <c r="F53" s="1">
        <v>90.7</v>
      </c>
      <c r="H53" s="4" t="s">
        <v>18</v>
      </c>
      <c r="I53">
        <f t="shared" si="1"/>
        <v>90.7</v>
      </c>
    </row>
    <row r="54" spans="5:9" x14ac:dyDescent="0.35">
      <c r="E54" s="4" t="s">
        <v>40</v>
      </c>
      <c r="F54" s="1">
        <v>91.6</v>
      </c>
      <c r="H54" s="4" t="s">
        <v>40</v>
      </c>
      <c r="I54">
        <f t="shared" si="1"/>
        <v>91.6</v>
      </c>
    </row>
    <row r="55" spans="5:9" x14ac:dyDescent="0.35">
      <c r="E55" s="4" t="s">
        <v>57</v>
      </c>
      <c r="F55" s="1">
        <v>92.8</v>
      </c>
      <c r="H55" s="4" t="s">
        <v>57</v>
      </c>
      <c r="I55">
        <f t="shared" si="1"/>
        <v>92.8</v>
      </c>
    </row>
    <row r="56" spans="5:9" x14ac:dyDescent="0.35">
      <c r="E56" s="4" t="s">
        <v>38</v>
      </c>
      <c r="F56" s="1">
        <v>94.2</v>
      </c>
      <c r="H56" s="4" t="s">
        <v>38</v>
      </c>
      <c r="I56">
        <f t="shared" si="1"/>
        <v>94.2</v>
      </c>
    </row>
    <row r="57" spans="5:9" x14ac:dyDescent="0.35">
      <c r="E57" s="4" t="s">
        <v>84</v>
      </c>
      <c r="F57" s="1">
        <v>618.79999999999995</v>
      </c>
    </row>
    <row r="61" spans="5:9" x14ac:dyDescent="0.35">
      <c r="E61" s="3" t="s">
        <v>83</v>
      </c>
      <c r="F61" t="s">
        <v>88</v>
      </c>
    </row>
    <row r="62" spans="5:9" x14ac:dyDescent="0.35">
      <c r="E62" s="4" t="s">
        <v>35</v>
      </c>
      <c r="F62" s="1">
        <v>94.2</v>
      </c>
      <c r="H62" s="4" t="s">
        <v>35</v>
      </c>
      <c r="I62">
        <f>GETPIVOTDATA("Employment_Rate",$E$61,"University_Name",H62)</f>
        <v>94.2</v>
      </c>
    </row>
    <row r="63" spans="5:9" x14ac:dyDescent="0.35">
      <c r="E63" s="4" t="s">
        <v>45</v>
      </c>
      <c r="F63" s="1">
        <v>94.5</v>
      </c>
      <c r="H63" s="4" t="s">
        <v>45</v>
      </c>
      <c r="I63">
        <f t="shared" ref="I63:I68" si="2">GETPIVOTDATA("Employment_Rate",$E$61,"University_Name",H63)</f>
        <v>94.5</v>
      </c>
    </row>
    <row r="64" spans="5:9" x14ac:dyDescent="0.35">
      <c r="E64" s="4" t="s">
        <v>67</v>
      </c>
      <c r="F64" s="1">
        <v>94.8</v>
      </c>
      <c r="H64" s="4" t="s">
        <v>67</v>
      </c>
      <c r="I64">
        <f t="shared" si="2"/>
        <v>94.8</v>
      </c>
    </row>
    <row r="65" spans="5:9" x14ac:dyDescent="0.35">
      <c r="E65" s="4" t="s">
        <v>37</v>
      </c>
      <c r="F65" s="1">
        <v>95</v>
      </c>
      <c r="H65" s="4" t="s">
        <v>37</v>
      </c>
      <c r="I65">
        <f t="shared" si="2"/>
        <v>95</v>
      </c>
    </row>
    <row r="66" spans="5:9" x14ac:dyDescent="0.35">
      <c r="E66" s="4" t="s">
        <v>18</v>
      </c>
      <c r="F66" s="1">
        <v>95.1</v>
      </c>
      <c r="H66" s="4" t="s">
        <v>18</v>
      </c>
      <c r="I66">
        <f t="shared" si="2"/>
        <v>95.1</v>
      </c>
    </row>
    <row r="67" spans="5:9" x14ac:dyDescent="0.35">
      <c r="E67" s="4" t="s">
        <v>40</v>
      </c>
      <c r="F67" s="1">
        <v>96.2</v>
      </c>
      <c r="H67" s="4" t="s">
        <v>40</v>
      </c>
      <c r="I67">
        <f t="shared" si="2"/>
        <v>96.2</v>
      </c>
    </row>
    <row r="68" spans="5:9" x14ac:dyDescent="0.35">
      <c r="E68" s="4" t="s">
        <v>49</v>
      </c>
      <c r="F68" s="1">
        <v>97.8</v>
      </c>
      <c r="H68" s="4" t="s">
        <v>49</v>
      </c>
      <c r="I68">
        <f t="shared" si="2"/>
        <v>97.8</v>
      </c>
    </row>
    <row r="69" spans="5:9" x14ac:dyDescent="0.35">
      <c r="E69" s="4" t="s">
        <v>84</v>
      </c>
      <c r="F69" s="1">
        <v>667.59999999999991</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
  <sheetViews>
    <sheetView showGridLines="0" showRowColHeaders="0" tabSelected="1" zoomScale="55" zoomScaleNormal="55" workbookViewId="0">
      <selection activeCell="Y22" sqref="Y22"/>
    </sheetView>
  </sheetViews>
  <sheetFormatPr defaultRowHeight="14.5" x14ac:dyDescent="0.35"/>
  <sheetData>
    <row r="1" spans="1:21" x14ac:dyDescent="0.35">
      <c r="A1" s="6"/>
      <c r="B1" s="6"/>
      <c r="C1" s="6"/>
      <c r="D1" s="6"/>
      <c r="E1" s="6"/>
      <c r="F1" s="6"/>
      <c r="G1" s="6"/>
      <c r="H1" s="6"/>
      <c r="I1" s="6"/>
      <c r="J1" s="6"/>
      <c r="K1" s="6"/>
      <c r="L1" s="6"/>
      <c r="M1" s="6"/>
      <c r="N1" s="6"/>
      <c r="O1" s="6"/>
      <c r="P1" s="6"/>
      <c r="Q1" s="6"/>
      <c r="R1" s="6"/>
      <c r="S1" s="6"/>
      <c r="T1" s="6"/>
      <c r="U1" s="6"/>
    </row>
    <row r="2" spans="1:21" x14ac:dyDescent="0.35">
      <c r="A2" s="6"/>
      <c r="B2" s="6"/>
      <c r="C2" s="6"/>
      <c r="D2" s="6"/>
      <c r="E2" s="6"/>
      <c r="F2" s="6"/>
      <c r="G2" s="6"/>
      <c r="H2" s="6"/>
      <c r="I2" s="6"/>
      <c r="J2" s="6"/>
      <c r="K2" s="6"/>
      <c r="L2" s="6"/>
      <c r="M2" s="6"/>
      <c r="N2" s="6"/>
      <c r="O2" s="6"/>
      <c r="P2" s="6"/>
      <c r="Q2" s="6"/>
      <c r="R2" s="6"/>
      <c r="S2" s="6"/>
      <c r="T2" s="6"/>
      <c r="U2" s="6"/>
    </row>
    <row r="3" spans="1:21" x14ac:dyDescent="0.35">
      <c r="A3" s="6"/>
      <c r="B3" s="6"/>
      <c r="C3" s="6"/>
      <c r="D3" s="6"/>
      <c r="E3" s="6"/>
      <c r="F3" s="6"/>
      <c r="G3" s="6"/>
      <c r="H3" s="6"/>
      <c r="I3" s="6"/>
      <c r="J3" s="6"/>
      <c r="K3" s="6"/>
      <c r="L3" s="6"/>
      <c r="M3" s="6"/>
      <c r="N3" s="6"/>
      <c r="O3" s="6"/>
      <c r="P3" s="6"/>
      <c r="Q3" s="6"/>
      <c r="R3" s="6"/>
      <c r="S3" s="6"/>
      <c r="T3" s="6"/>
      <c r="U3" s="6"/>
    </row>
    <row r="4" spans="1:21" x14ac:dyDescent="0.35">
      <c r="A4" s="6"/>
      <c r="B4" s="6"/>
      <c r="C4" s="6"/>
      <c r="D4" s="6"/>
      <c r="E4" s="6"/>
      <c r="F4" s="6"/>
      <c r="G4" s="6"/>
      <c r="H4" s="6"/>
      <c r="I4" s="6"/>
      <c r="J4" s="6"/>
      <c r="K4" s="6"/>
      <c r="L4" s="6"/>
      <c r="M4" s="6"/>
      <c r="N4" s="6"/>
      <c r="O4" s="6"/>
      <c r="P4" s="6"/>
      <c r="Q4" s="6"/>
      <c r="R4" s="6"/>
      <c r="S4" s="6"/>
      <c r="T4" s="6"/>
      <c r="U4" s="6"/>
    </row>
    <row r="5" spans="1:21" x14ac:dyDescent="0.35">
      <c r="A5" s="6"/>
      <c r="B5" s="6"/>
      <c r="C5" s="6"/>
      <c r="D5" s="6"/>
      <c r="E5" s="6"/>
      <c r="F5" s="6"/>
      <c r="G5" s="6"/>
      <c r="H5" s="6"/>
      <c r="I5" s="6"/>
      <c r="J5" s="6"/>
      <c r="K5" s="6"/>
      <c r="L5" s="6"/>
      <c r="M5" s="6"/>
      <c r="N5" s="6"/>
      <c r="O5" s="6"/>
      <c r="P5" s="6"/>
      <c r="Q5" s="6"/>
      <c r="R5" s="6"/>
      <c r="S5" s="6"/>
      <c r="T5" s="6"/>
      <c r="U5" s="6"/>
    </row>
    <row r="6" spans="1:21" x14ac:dyDescent="0.35">
      <c r="A6" s="6"/>
      <c r="B6" s="6"/>
      <c r="C6" s="6"/>
      <c r="D6" s="6"/>
      <c r="E6" s="6"/>
      <c r="F6" s="6"/>
      <c r="G6" s="6"/>
      <c r="H6" s="6"/>
      <c r="I6" s="6"/>
      <c r="J6" s="6"/>
      <c r="K6" s="6"/>
      <c r="L6" s="6"/>
      <c r="M6" s="6"/>
      <c r="N6" s="6"/>
      <c r="O6" s="6"/>
      <c r="P6" s="6"/>
      <c r="Q6" s="6"/>
      <c r="R6" s="6"/>
      <c r="S6" s="6"/>
      <c r="T6" s="6"/>
      <c r="U6" s="6"/>
    </row>
    <row r="7" spans="1:21" x14ac:dyDescent="0.35">
      <c r="A7" s="6"/>
      <c r="B7" s="6"/>
      <c r="C7" s="6"/>
      <c r="D7" s="6"/>
      <c r="E7" s="6"/>
      <c r="F7" s="6"/>
      <c r="G7" s="6"/>
      <c r="H7" s="6"/>
      <c r="I7" s="6"/>
      <c r="J7" s="6"/>
      <c r="K7" s="6"/>
      <c r="L7" s="6"/>
      <c r="M7" s="6"/>
      <c r="N7" s="6"/>
      <c r="O7" s="6"/>
      <c r="P7" s="6"/>
      <c r="Q7" s="6"/>
      <c r="R7" s="6"/>
      <c r="S7" s="6"/>
      <c r="T7" s="6"/>
      <c r="U7" s="6"/>
    </row>
    <row r="8" spans="1:21" x14ac:dyDescent="0.35">
      <c r="A8" s="6"/>
      <c r="B8" s="6"/>
      <c r="C8" s="6"/>
      <c r="D8" s="6"/>
      <c r="E8" s="6"/>
      <c r="F8" s="6"/>
      <c r="G8" s="6"/>
      <c r="H8" s="6"/>
      <c r="I8" s="6"/>
      <c r="J8" s="6"/>
      <c r="K8" s="6"/>
      <c r="L8" s="6"/>
      <c r="M8" s="6"/>
      <c r="N8" s="6"/>
      <c r="O8" s="6"/>
      <c r="P8" s="6"/>
      <c r="Q8" s="6"/>
      <c r="R8" s="6"/>
      <c r="S8" s="6"/>
      <c r="T8" s="6"/>
      <c r="U8" s="6"/>
    </row>
    <row r="9" spans="1:21" x14ac:dyDescent="0.35">
      <c r="A9" s="6"/>
      <c r="B9" s="6"/>
      <c r="C9" s="6"/>
      <c r="D9" s="6"/>
      <c r="E9" s="6"/>
      <c r="F9" s="6"/>
      <c r="G9" s="6"/>
      <c r="H9" s="6"/>
      <c r="I9" s="6"/>
      <c r="J9" s="6"/>
      <c r="K9" s="6"/>
      <c r="L9" s="6"/>
      <c r="M9" s="6"/>
      <c r="N9" s="6"/>
      <c r="O9" s="6"/>
      <c r="P9" s="6"/>
      <c r="Q9" s="6"/>
      <c r="R9" s="6"/>
      <c r="S9" s="6"/>
      <c r="T9" s="6"/>
      <c r="U9" s="6"/>
    </row>
    <row r="10" spans="1:21" x14ac:dyDescent="0.35">
      <c r="A10" s="6"/>
      <c r="B10" s="6"/>
      <c r="C10" s="6"/>
      <c r="D10" s="6"/>
      <c r="E10" s="6"/>
      <c r="F10" s="6"/>
      <c r="G10" s="6"/>
      <c r="H10" s="6"/>
      <c r="I10" s="6"/>
      <c r="J10" s="6"/>
      <c r="K10" s="6"/>
      <c r="L10" s="6"/>
      <c r="M10" s="6"/>
      <c r="N10" s="6"/>
      <c r="O10" s="6"/>
      <c r="P10" s="6"/>
      <c r="Q10" s="6"/>
      <c r="R10" s="6"/>
      <c r="S10" s="6"/>
      <c r="T10" s="6"/>
      <c r="U10" s="6"/>
    </row>
    <row r="11" spans="1:21" x14ac:dyDescent="0.35">
      <c r="A11" s="6"/>
      <c r="B11" s="6"/>
      <c r="C11" s="6"/>
      <c r="D11" s="6"/>
      <c r="E11" s="6"/>
      <c r="F11" s="6"/>
      <c r="G11" s="6"/>
      <c r="H11" s="6"/>
      <c r="I11" s="6"/>
      <c r="J11" s="6"/>
      <c r="K11" s="6"/>
      <c r="L11" s="6"/>
      <c r="M11" s="6"/>
      <c r="N11" s="6"/>
      <c r="O11" s="6"/>
      <c r="P11" s="6"/>
      <c r="Q11" s="6"/>
      <c r="R11" s="6"/>
      <c r="S11" s="6"/>
      <c r="T11" s="6"/>
      <c r="U11" s="6"/>
    </row>
    <row r="12" spans="1:21" x14ac:dyDescent="0.35">
      <c r="A12" s="6"/>
      <c r="B12" s="6"/>
      <c r="C12" s="6"/>
      <c r="D12" s="6"/>
      <c r="E12" s="6"/>
      <c r="F12" s="6"/>
      <c r="G12" s="6"/>
      <c r="H12" s="6"/>
      <c r="I12" s="6"/>
      <c r="J12" s="6"/>
      <c r="K12" s="6"/>
      <c r="L12" s="6"/>
      <c r="M12" s="6"/>
      <c r="N12" s="6"/>
      <c r="O12" s="6"/>
      <c r="P12" s="6"/>
      <c r="Q12" s="6"/>
      <c r="R12" s="6"/>
      <c r="S12" s="6"/>
      <c r="T12" s="6"/>
      <c r="U12" s="6"/>
    </row>
    <row r="13" spans="1:21" x14ac:dyDescent="0.35">
      <c r="A13" s="6"/>
      <c r="B13" s="6"/>
      <c r="C13" s="6"/>
      <c r="D13" s="6"/>
      <c r="E13" s="6"/>
      <c r="F13" s="6"/>
      <c r="G13" s="6"/>
      <c r="H13" s="6"/>
      <c r="I13" s="6"/>
      <c r="J13" s="6"/>
      <c r="K13" s="6"/>
      <c r="L13" s="6"/>
      <c r="M13" s="6"/>
      <c r="N13" s="6"/>
      <c r="O13" s="6"/>
      <c r="P13" s="6"/>
      <c r="Q13" s="6"/>
      <c r="R13" s="6"/>
      <c r="S13" s="6"/>
      <c r="T13" s="6"/>
      <c r="U13" s="6"/>
    </row>
    <row r="14" spans="1:21" x14ac:dyDescent="0.35">
      <c r="A14" s="6"/>
      <c r="B14" s="6"/>
      <c r="C14" s="6"/>
      <c r="D14" s="6"/>
      <c r="E14" s="6"/>
      <c r="F14" s="6"/>
      <c r="G14" s="6"/>
      <c r="H14" s="6"/>
      <c r="I14" s="6"/>
      <c r="J14" s="6"/>
      <c r="K14" s="6"/>
      <c r="L14" s="6"/>
      <c r="M14" s="6"/>
      <c r="N14" s="6"/>
      <c r="O14" s="6"/>
      <c r="P14" s="6"/>
      <c r="Q14" s="6"/>
      <c r="R14" s="6"/>
      <c r="S14" s="6"/>
      <c r="T14" s="6"/>
      <c r="U14" s="6"/>
    </row>
    <row r="15" spans="1:21" x14ac:dyDescent="0.35">
      <c r="A15" s="6"/>
      <c r="B15" s="6"/>
      <c r="C15" s="6"/>
      <c r="D15" s="6"/>
      <c r="E15" s="6"/>
      <c r="F15" s="6"/>
      <c r="G15" s="6"/>
      <c r="H15" s="6"/>
      <c r="I15" s="6"/>
      <c r="J15" s="6"/>
      <c r="K15" s="6"/>
      <c r="L15" s="6"/>
      <c r="M15" s="6"/>
      <c r="N15" s="6"/>
      <c r="O15" s="6"/>
      <c r="P15" s="6"/>
      <c r="Q15" s="6"/>
      <c r="R15" s="6"/>
      <c r="S15" s="6"/>
      <c r="T15" s="6"/>
      <c r="U15" s="6"/>
    </row>
    <row r="16" spans="1:21" x14ac:dyDescent="0.35">
      <c r="A16" s="6"/>
      <c r="B16" s="6"/>
      <c r="C16" s="6"/>
      <c r="D16" s="6"/>
      <c r="E16" s="6"/>
      <c r="F16" s="6"/>
      <c r="G16" s="6"/>
      <c r="H16" s="6"/>
      <c r="I16" s="6"/>
      <c r="J16" s="6"/>
      <c r="K16" s="6"/>
      <c r="L16" s="6"/>
      <c r="M16" s="6"/>
      <c r="N16" s="6"/>
      <c r="O16" s="6"/>
      <c r="P16" s="6"/>
      <c r="Q16" s="6"/>
      <c r="R16" s="6"/>
      <c r="S16" s="6"/>
      <c r="T16" s="6"/>
      <c r="U16" s="6"/>
    </row>
    <row r="17" spans="1:21" x14ac:dyDescent="0.35">
      <c r="A17" s="6"/>
      <c r="B17" s="6"/>
      <c r="C17" s="6"/>
      <c r="D17" s="6"/>
      <c r="E17" s="6"/>
      <c r="F17" s="6"/>
      <c r="G17" s="6"/>
      <c r="H17" s="6"/>
      <c r="I17" s="6"/>
      <c r="J17" s="6"/>
      <c r="K17" s="6"/>
      <c r="L17" s="6"/>
      <c r="M17" s="6"/>
      <c r="N17" s="6"/>
      <c r="O17" s="6"/>
      <c r="P17" s="6"/>
      <c r="Q17" s="6"/>
      <c r="R17" s="6"/>
      <c r="S17" s="6"/>
      <c r="T17" s="6"/>
      <c r="U17" s="6"/>
    </row>
    <row r="18" spans="1:21" x14ac:dyDescent="0.35">
      <c r="A18" s="6"/>
      <c r="B18" s="6"/>
      <c r="C18" s="6"/>
      <c r="D18" s="6"/>
      <c r="E18" s="6"/>
      <c r="F18" s="6"/>
      <c r="G18" s="6"/>
      <c r="H18" s="6"/>
      <c r="I18" s="6"/>
      <c r="J18" s="6"/>
      <c r="K18" s="6"/>
      <c r="L18" s="6"/>
      <c r="M18" s="6"/>
      <c r="N18" s="6"/>
      <c r="O18" s="6"/>
      <c r="P18" s="6"/>
      <c r="Q18" s="6"/>
      <c r="R18" s="6"/>
      <c r="S18" s="6"/>
      <c r="T18" s="6"/>
      <c r="U18" s="6"/>
    </row>
    <row r="19" spans="1:21" x14ac:dyDescent="0.35">
      <c r="A19" s="6"/>
      <c r="B19" s="6"/>
      <c r="C19" s="6"/>
      <c r="D19" s="6"/>
      <c r="E19" s="6"/>
      <c r="F19" s="6"/>
      <c r="G19" s="6"/>
      <c r="H19" s="6"/>
      <c r="I19" s="6"/>
      <c r="J19" s="6"/>
      <c r="K19" s="6"/>
      <c r="L19" s="6"/>
      <c r="M19" s="6"/>
      <c r="N19" s="6"/>
      <c r="O19" s="6"/>
      <c r="P19" s="6"/>
      <c r="Q19" s="6"/>
      <c r="R19" s="6"/>
      <c r="S19" s="6"/>
      <c r="T19" s="6"/>
      <c r="U19" s="6"/>
    </row>
    <row r="20" spans="1:21" x14ac:dyDescent="0.35">
      <c r="A20" s="6"/>
      <c r="B20" s="6"/>
      <c r="C20" s="6"/>
      <c r="D20" s="6"/>
      <c r="E20" s="6"/>
      <c r="F20" s="6"/>
      <c r="G20" s="6"/>
      <c r="H20" s="6"/>
      <c r="I20" s="6"/>
      <c r="J20" s="6"/>
      <c r="K20" s="6"/>
      <c r="L20" s="6"/>
      <c r="M20" s="6"/>
      <c r="N20" s="6"/>
      <c r="O20" s="6"/>
      <c r="P20" s="6"/>
      <c r="Q20" s="6"/>
      <c r="R20" s="6"/>
      <c r="S20" s="6"/>
      <c r="T20" s="6"/>
      <c r="U20" s="6"/>
    </row>
    <row r="21" spans="1:21" x14ac:dyDescent="0.35">
      <c r="A21" s="6"/>
      <c r="B21" s="6"/>
      <c r="C21" s="6"/>
      <c r="D21" s="6"/>
      <c r="E21" s="6"/>
      <c r="F21" s="6"/>
      <c r="G21" s="6"/>
      <c r="H21" s="6"/>
      <c r="I21" s="6"/>
      <c r="J21" s="6"/>
      <c r="K21" s="6"/>
      <c r="L21" s="6"/>
      <c r="M21" s="6"/>
      <c r="N21" s="6"/>
      <c r="O21" s="6"/>
      <c r="P21" s="6"/>
      <c r="Q21" s="6"/>
      <c r="R21" s="6"/>
      <c r="S21" s="6"/>
      <c r="T21" s="6"/>
      <c r="U21" s="6"/>
    </row>
    <row r="22" spans="1:21" x14ac:dyDescent="0.35">
      <c r="A22" s="6"/>
      <c r="B22" s="6"/>
      <c r="C22" s="6"/>
      <c r="D22" s="6"/>
      <c r="E22" s="6"/>
      <c r="F22" s="6"/>
      <c r="G22" s="6"/>
      <c r="H22" s="6"/>
      <c r="I22" s="6"/>
      <c r="J22" s="6"/>
      <c r="K22" s="6"/>
      <c r="L22" s="6"/>
      <c r="M22" s="6"/>
      <c r="N22" s="6"/>
      <c r="O22" s="6"/>
      <c r="P22" s="6"/>
      <c r="Q22" s="6"/>
      <c r="R22" s="6"/>
      <c r="S22" s="6"/>
      <c r="T22" s="6"/>
      <c r="U22" s="6"/>
    </row>
    <row r="23" spans="1:21" x14ac:dyDescent="0.35">
      <c r="A23" s="6"/>
      <c r="B23" s="6"/>
      <c r="C23" s="6"/>
      <c r="D23" s="6"/>
      <c r="E23" s="6"/>
      <c r="F23" s="6"/>
      <c r="G23" s="6"/>
      <c r="H23" s="6"/>
      <c r="I23" s="6"/>
      <c r="J23" s="6"/>
      <c r="K23" s="6"/>
      <c r="L23" s="6"/>
      <c r="M23" s="6"/>
      <c r="N23" s="6"/>
      <c r="O23" s="6"/>
      <c r="P23" s="6"/>
      <c r="Q23" s="6"/>
      <c r="R23" s="6"/>
      <c r="S23" s="6"/>
      <c r="T23" s="6"/>
      <c r="U23" s="6"/>
    </row>
    <row r="24" spans="1:21" x14ac:dyDescent="0.35">
      <c r="A24" s="6"/>
      <c r="B24" s="6"/>
      <c r="C24" s="6"/>
      <c r="D24" s="6"/>
      <c r="E24" s="6"/>
      <c r="F24" s="6"/>
      <c r="G24" s="6"/>
      <c r="H24" s="6"/>
      <c r="I24" s="6"/>
      <c r="J24" s="6"/>
      <c r="K24" s="6"/>
      <c r="L24" s="6"/>
      <c r="M24" s="6"/>
      <c r="N24" s="6"/>
      <c r="O24" s="6"/>
      <c r="P24" s="6"/>
      <c r="Q24" s="6"/>
      <c r="R24" s="6"/>
      <c r="S24" s="6"/>
      <c r="T24" s="6"/>
      <c r="U24" s="6"/>
    </row>
    <row r="25" spans="1:21" x14ac:dyDescent="0.35">
      <c r="A25" s="6"/>
      <c r="B25" s="6"/>
      <c r="C25" s="6"/>
      <c r="D25" s="6"/>
      <c r="E25" s="6"/>
      <c r="F25" s="6"/>
      <c r="G25" s="6"/>
      <c r="H25" s="6"/>
      <c r="I25" s="6"/>
      <c r="J25" s="6"/>
      <c r="K25" s="6"/>
      <c r="L25" s="6"/>
      <c r="M25" s="6"/>
      <c r="N25" s="6"/>
      <c r="O25" s="6"/>
      <c r="P25" s="6"/>
      <c r="Q25" s="6"/>
      <c r="R25" s="6"/>
      <c r="S25" s="6"/>
      <c r="T25" s="6"/>
      <c r="U25" s="6"/>
    </row>
    <row r="26" spans="1:21" x14ac:dyDescent="0.35">
      <c r="A26" s="6"/>
      <c r="B26" s="6"/>
      <c r="C26" s="6"/>
      <c r="D26" s="6"/>
      <c r="E26" s="6"/>
      <c r="F26" s="6"/>
      <c r="G26" s="6"/>
      <c r="H26" s="6"/>
      <c r="I26" s="6"/>
      <c r="J26" s="6"/>
      <c r="K26" s="6"/>
      <c r="L26" s="6"/>
      <c r="M26" s="6"/>
      <c r="N26" s="6"/>
      <c r="O26" s="6"/>
      <c r="P26" s="6"/>
      <c r="Q26" s="6"/>
      <c r="R26" s="6"/>
      <c r="S26" s="6"/>
      <c r="T26" s="6"/>
      <c r="U26" s="6"/>
    </row>
    <row r="27" spans="1:21" x14ac:dyDescent="0.35">
      <c r="A27" s="6"/>
      <c r="B27" s="6"/>
      <c r="C27" s="6"/>
      <c r="D27" s="6"/>
      <c r="E27" s="6"/>
      <c r="F27" s="6"/>
      <c r="G27" s="6"/>
      <c r="H27" s="6"/>
      <c r="I27" s="6"/>
      <c r="J27" s="6"/>
      <c r="K27" s="6"/>
      <c r="L27" s="6"/>
      <c r="M27" s="6"/>
      <c r="N27" s="6"/>
      <c r="O27" s="6"/>
      <c r="P27" s="6"/>
      <c r="Q27" s="6"/>
      <c r="R27" s="6"/>
      <c r="S27" s="6"/>
      <c r="T27" s="6"/>
      <c r="U27" s="6"/>
    </row>
    <row r="28" spans="1:21" x14ac:dyDescent="0.35">
      <c r="A28" s="6"/>
      <c r="B28" s="6"/>
      <c r="C28" s="6"/>
      <c r="D28" s="6"/>
      <c r="E28" s="6"/>
      <c r="F28" s="6"/>
      <c r="G28" s="6"/>
      <c r="H28" s="6"/>
      <c r="I28" s="6"/>
      <c r="J28" s="6"/>
      <c r="K28" s="6"/>
      <c r="L28" s="6"/>
      <c r="M28" s="6"/>
      <c r="N28" s="6"/>
      <c r="O28" s="6"/>
      <c r="P28" s="6"/>
      <c r="Q28" s="6"/>
      <c r="R28" s="6"/>
      <c r="S28" s="6"/>
      <c r="T28" s="6"/>
      <c r="U28" s="6"/>
    </row>
    <row r="29" spans="1:21" x14ac:dyDescent="0.35">
      <c r="A29" s="6"/>
      <c r="B29" s="6"/>
      <c r="C29" s="6"/>
      <c r="D29" s="6"/>
      <c r="E29" s="6"/>
      <c r="F29" s="6"/>
      <c r="G29" s="6"/>
      <c r="H29" s="6"/>
      <c r="I29" s="6"/>
      <c r="J29" s="6"/>
      <c r="K29" s="6"/>
      <c r="L29" s="6"/>
      <c r="M29" s="6"/>
      <c r="N29" s="6"/>
      <c r="O29" s="6"/>
      <c r="P29" s="6"/>
      <c r="Q29" s="6"/>
      <c r="R29" s="6"/>
      <c r="S29" s="6"/>
      <c r="T29" s="6"/>
      <c r="U29" s="6"/>
    </row>
    <row r="30" spans="1:21" x14ac:dyDescent="0.35">
      <c r="A30" s="6"/>
      <c r="B30" s="6"/>
      <c r="C30" s="6"/>
      <c r="D30" s="6"/>
      <c r="E30" s="6"/>
      <c r="F30" s="6"/>
      <c r="G30" s="6"/>
      <c r="H30" s="6"/>
      <c r="I30" s="6"/>
      <c r="J30" s="6"/>
      <c r="K30" s="6"/>
      <c r="L30" s="6"/>
      <c r="M30" s="6"/>
      <c r="N30" s="6"/>
      <c r="O30" s="6"/>
      <c r="P30" s="6"/>
      <c r="Q30" s="6"/>
      <c r="R30" s="6"/>
      <c r="S30" s="6"/>
      <c r="T30" s="6"/>
      <c r="U30" s="6"/>
    </row>
    <row r="31" spans="1:21" x14ac:dyDescent="0.35">
      <c r="A31" s="6"/>
      <c r="B31" s="6"/>
      <c r="C31" s="6"/>
      <c r="D31" s="6"/>
      <c r="E31" s="6"/>
      <c r="F31" s="6"/>
      <c r="G31" s="6"/>
      <c r="H31" s="6"/>
      <c r="I31" s="6"/>
      <c r="J31" s="6"/>
      <c r="K31" s="6"/>
      <c r="L31" s="6"/>
      <c r="M31" s="6"/>
      <c r="N31" s="6"/>
      <c r="O31" s="6"/>
      <c r="P31" s="6"/>
      <c r="Q31" s="6"/>
      <c r="R31" s="6"/>
      <c r="S31" s="6"/>
      <c r="T31" s="6"/>
      <c r="U31" s="6"/>
    </row>
    <row r="32" spans="1:21" x14ac:dyDescent="0.35">
      <c r="A32" s="6"/>
      <c r="B32" s="6"/>
      <c r="C32" s="6"/>
      <c r="D32" s="6"/>
      <c r="E32" s="6"/>
      <c r="F32" s="6"/>
      <c r="G32" s="6"/>
      <c r="H32" s="6"/>
      <c r="I32" s="6"/>
      <c r="J32" s="6"/>
      <c r="K32" s="6"/>
      <c r="L32" s="6"/>
      <c r="M32" s="6"/>
      <c r="N32" s="6"/>
      <c r="O32" s="6"/>
      <c r="P32" s="6"/>
      <c r="Q32" s="6"/>
      <c r="R32" s="6"/>
      <c r="S32" s="6"/>
      <c r="T32" s="6"/>
      <c r="U32" s="6"/>
    </row>
    <row r="33" spans="1:21" x14ac:dyDescent="0.35">
      <c r="A33" s="6"/>
      <c r="B33" s="6"/>
      <c r="C33" s="6"/>
      <c r="D33" s="6"/>
      <c r="E33" s="6"/>
      <c r="F33" s="6"/>
      <c r="G33" s="6"/>
      <c r="H33" s="6"/>
      <c r="I33" s="6"/>
      <c r="J33" s="6"/>
      <c r="K33" s="6"/>
      <c r="L33" s="6"/>
      <c r="M33" s="6"/>
      <c r="N33" s="6"/>
      <c r="O33" s="6"/>
      <c r="P33" s="6"/>
      <c r="Q33" s="6"/>
      <c r="R33" s="6"/>
      <c r="S33" s="6"/>
      <c r="T33" s="6"/>
      <c r="U33" s="6"/>
    </row>
    <row r="34" spans="1:21" x14ac:dyDescent="0.35">
      <c r="A34" s="6"/>
      <c r="B34" s="6"/>
      <c r="C34" s="6"/>
      <c r="D34" s="6"/>
      <c r="E34" s="6"/>
      <c r="F34" s="6"/>
      <c r="G34" s="6"/>
      <c r="H34" s="6"/>
      <c r="I34" s="6"/>
      <c r="J34" s="6"/>
      <c r="K34" s="6"/>
      <c r="L34" s="6"/>
      <c r="M34" s="6"/>
      <c r="N34" s="6"/>
      <c r="O34" s="6"/>
      <c r="P34" s="6"/>
      <c r="Q34" s="6"/>
      <c r="R34" s="6"/>
      <c r="S34" s="6"/>
      <c r="T34" s="6"/>
      <c r="U34" s="6"/>
    </row>
    <row r="35" spans="1:21" x14ac:dyDescent="0.35">
      <c r="A35" s="6"/>
      <c r="B35" s="6"/>
      <c r="C35" s="6"/>
      <c r="D35" s="6"/>
      <c r="E35" s="6"/>
      <c r="F35" s="6"/>
      <c r="G35" s="6"/>
      <c r="H35" s="6"/>
      <c r="I35" s="6"/>
      <c r="J35" s="6"/>
      <c r="K35" s="6"/>
      <c r="L35" s="6"/>
      <c r="M35" s="6"/>
      <c r="N35" s="6"/>
      <c r="O35" s="6"/>
      <c r="P35" s="6"/>
      <c r="Q35" s="6"/>
      <c r="R35" s="6"/>
      <c r="S35" s="6"/>
      <c r="T35" s="6"/>
      <c r="U35" s="6"/>
    </row>
    <row r="36" spans="1:21" x14ac:dyDescent="0.35">
      <c r="A36" s="6"/>
      <c r="B36" s="6"/>
      <c r="C36" s="6"/>
      <c r="D36" s="6"/>
      <c r="E36" s="6"/>
      <c r="F36" s="6"/>
      <c r="G36" s="6"/>
      <c r="H36" s="6"/>
      <c r="I36" s="6"/>
      <c r="J36" s="6"/>
      <c r="K36" s="6"/>
      <c r="L36" s="6"/>
      <c r="M36" s="6"/>
      <c r="N36" s="6"/>
      <c r="O36" s="6"/>
      <c r="P36" s="6"/>
      <c r="Q36" s="6"/>
      <c r="R36" s="6"/>
      <c r="S36" s="6"/>
      <c r="T36" s="6"/>
      <c r="U36" s="6"/>
    </row>
    <row r="37" spans="1:21" x14ac:dyDescent="0.35">
      <c r="A37" s="6"/>
      <c r="B37" s="6"/>
      <c r="C37" s="6"/>
      <c r="D37" s="6"/>
      <c r="E37" s="6"/>
      <c r="F37" s="6"/>
      <c r="G37" s="6"/>
      <c r="H37" s="6"/>
      <c r="I37" s="6"/>
      <c r="J37" s="6"/>
      <c r="K37" s="6"/>
      <c r="L37" s="6"/>
      <c r="M37" s="6"/>
      <c r="N37" s="6"/>
      <c r="O37" s="6"/>
      <c r="P37" s="6"/>
      <c r="Q37" s="6"/>
      <c r="R37" s="6"/>
      <c r="S37" s="6"/>
      <c r="T37" s="6"/>
      <c r="U37" s="6"/>
    </row>
    <row r="38" spans="1:21" x14ac:dyDescent="0.35">
      <c r="A38" s="6"/>
      <c r="B38" s="6"/>
      <c r="C38" s="6"/>
      <c r="D38" s="6"/>
      <c r="E38" s="6"/>
      <c r="F38" s="6"/>
      <c r="G38" s="6"/>
      <c r="H38" s="6"/>
      <c r="I38" s="6"/>
      <c r="J38" s="6"/>
      <c r="K38" s="6"/>
      <c r="L38" s="6"/>
      <c r="M38" s="6"/>
      <c r="N38" s="6"/>
      <c r="O38" s="6"/>
      <c r="P38" s="6"/>
      <c r="Q38" s="6"/>
      <c r="R38" s="6"/>
      <c r="S38" s="6"/>
      <c r="T38" s="6"/>
      <c r="U38" s="6"/>
    </row>
    <row r="39" spans="1:21" x14ac:dyDescent="0.35">
      <c r="A39" s="6"/>
      <c r="B39" s="6"/>
      <c r="C39" s="6"/>
      <c r="D39" s="6"/>
      <c r="E39" s="6"/>
      <c r="F39" s="6"/>
      <c r="G39" s="6"/>
      <c r="H39" s="6"/>
      <c r="I39" s="6"/>
      <c r="J39" s="6"/>
      <c r="K39" s="6"/>
      <c r="L39" s="6"/>
      <c r="M39" s="6"/>
      <c r="N39" s="6"/>
      <c r="O39" s="6"/>
      <c r="P39" s="6"/>
      <c r="Q39" s="6"/>
      <c r="R39" s="6"/>
      <c r="S39" s="6"/>
      <c r="T39" s="6"/>
      <c r="U39" s="6"/>
    </row>
    <row r="40" spans="1:21" x14ac:dyDescent="0.35">
      <c r="A40" s="6"/>
      <c r="B40" s="6"/>
      <c r="C40" s="6"/>
      <c r="D40" s="6"/>
      <c r="E40" s="6"/>
      <c r="F40" s="6"/>
      <c r="G40" s="6"/>
      <c r="H40" s="6"/>
      <c r="I40" s="6"/>
      <c r="J40" s="6"/>
      <c r="K40" s="6"/>
      <c r="L40" s="6"/>
      <c r="M40" s="6"/>
      <c r="N40" s="6"/>
      <c r="O40" s="6"/>
      <c r="P40" s="6"/>
      <c r="Q40" s="6"/>
      <c r="R40" s="6"/>
      <c r="S40" s="6"/>
      <c r="T40" s="6"/>
      <c r="U40" s="6"/>
    </row>
    <row r="41" spans="1:21" x14ac:dyDescent="0.35">
      <c r="A41" s="6"/>
      <c r="B41" s="6"/>
      <c r="C41" s="6"/>
      <c r="D41" s="6"/>
      <c r="E41" s="6"/>
      <c r="F41" s="6"/>
      <c r="G41" s="6"/>
      <c r="H41" s="6"/>
      <c r="I41" s="6"/>
      <c r="J41" s="6"/>
      <c r="K41" s="6"/>
      <c r="L41" s="6"/>
      <c r="M41" s="6"/>
      <c r="N41" s="6"/>
      <c r="O41" s="6"/>
      <c r="P41" s="6"/>
      <c r="Q41" s="6"/>
      <c r="R41" s="6"/>
      <c r="S41" s="6"/>
      <c r="T41" s="6"/>
      <c r="U41" s="6"/>
    </row>
    <row r="42" spans="1:21" x14ac:dyDescent="0.35">
      <c r="A42" s="6"/>
      <c r="B42" s="6"/>
      <c r="C42" s="6"/>
      <c r="D42" s="6"/>
      <c r="E42" s="6"/>
      <c r="F42" s="6"/>
      <c r="G42" s="6"/>
      <c r="H42" s="6"/>
      <c r="I42" s="6"/>
      <c r="J42" s="6"/>
      <c r="K42" s="6"/>
      <c r="L42" s="6"/>
      <c r="M42" s="6"/>
      <c r="N42" s="6"/>
      <c r="O42" s="6"/>
      <c r="P42" s="6"/>
      <c r="Q42" s="6"/>
      <c r="R42" s="6"/>
      <c r="S42" s="6"/>
      <c r="T42" s="6"/>
      <c r="U42" s="6"/>
    </row>
    <row r="43" spans="1:21" x14ac:dyDescent="0.35">
      <c r="A43" s="6"/>
      <c r="B43" s="6"/>
      <c r="C43" s="6"/>
      <c r="D43" s="6"/>
      <c r="E43" s="6"/>
      <c r="F43" s="6"/>
      <c r="G43" s="6"/>
      <c r="H43" s="6"/>
      <c r="I43" s="6"/>
      <c r="J43" s="6"/>
      <c r="K43" s="6"/>
      <c r="L43" s="6"/>
      <c r="M43" s="6"/>
      <c r="N43" s="6"/>
      <c r="O43" s="6"/>
      <c r="P43" s="6"/>
      <c r="Q43" s="6"/>
      <c r="R43" s="6"/>
      <c r="S43" s="6"/>
      <c r="T43" s="6"/>
      <c r="U4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workbookViewId="0"/>
  </sheetViews>
  <sheetFormatPr defaultRowHeight="14.5" x14ac:dyDescent="0.35"/>
  <cols>
    <col min="1" max="1" width="39.90625" bestFit="1" customWidth="1"/>
    <col min="2" max="2" width="15.453125" bestFit="1" customWidth="1"/>
    <col min="3" max="3" width="15.26953125" bestFit="1" customWidth="1"/>
    <col min="4" max="4" width="17" bestFit="1" customWidth="1"/>
    <col min="5" max="5" width="7.453125" bestFit="1" customWidth="1"/>
    <col min="6" max="6" width="23.1796875" bestFit="1" customWidth="1"/>
    <col min="7" max="7" width="18.08984375" customWidth="1"/>
    <col min="8" max="8" width="18.6328125" bestFit="1" customWidth="1"/>
  </cols>
  <sheetData>
    <row r="1" spans="1:8" x14ac:dyDescent="0.35">
      <c r="A1" s="1" t="s">
        <v>0</v>
      </c>
      <c r="B1" s="1" t="s">
        <v>1</v>
      </c>
      <c r="C1" s="1" t="s">
        <v>2</v>
      </c>
      <c r="D1" s="1" t="s">
        <v>3</v>
      </c>
      <c r="E1" s="1" t="s">
        <v>4</v>
      </c>
      <c r="F1" s="1" t="s">
        <v>5</v>
      </c>
      <c r="G1" s="1" t="s">
        <v>6</v>
      </c>
      <c r="H1" s="1" t="s">
        <v>7</v>
      </c>
    </row>
    <row r="2" spans="1:8" x14ac:dyDescent="0.35">
      <c r="A2" s="1" t="s">
        <v>40</v>
      </c>
      <c r="B2" s="2">
        <v>1</v>
      </c>
      <c r="C2" s="2">
        <v>1861</v>
      </c>
      <c r="D2" s="2" t="s">
        <v>9</v>
      </c>
      <c r="E2" s="2" t="s">
        <v>10</v>
      </c>
      <c r="F2" s="2">
        <v>100</v>
      </c>
      <c r="G2" s="2">
        <v>91.6</v>
      </c>
      <c r="H2" s="2">
        <v>96.2</v>
      </c>
    </row>
    <row r="3" spans="1:8" x14ac:dyDescent="0.35">
      <c r="A3" s="1" t="s">
        <v>25</v>
      </c>
      <c r="B3" s="2">
        <v>2</v>
      </c>
      <c r="C3" s="2">
        <v>1754</v>
      </c>
      <c r="D3" s="2" t="s">
        <v>9</v>
      </c>
      <c r="E3" s="2" t="s">
        <v>24</v>
      </c>
      <c r="F3" s="2">
        <v>95.9</v>
      </c>
      <c r="G3" s="2">
        <v>83.7</v>
      </c>
      <c r="H3" s="2">
        <v>92.1</v>
      </c>
    </row>
    <row r="4" spans="1:8" x14ac:dyDescent="0.35">
      <c r="A4" s="1" t="s">
        <v>45</v>
      </c>
      <c r="B4" s="2">
        <v>3</v>
      </c>
      <c r="C4" s="2">
        <v>1746</v>
      </c>
      <c r="D4" s="2" t="s">
        <v>9</v>
      </c>
      <c r="E4" s="2" t="s">
        <v>46</v>
      </c>
      <c r="F4" s="2">
        <v>99</v>
      </c>
      <c r="G4" s="2">
        <v>70</v>
      </c>
      <c r="H4" s="2">
        <v>94.5</v>
      </c>
    </row>
    <row r="5" spans="1:8" x14ac:dyDescent="0.35">
      <c r="A5" s="1" t="s">
        <v>49</v>
      </c>
      <c r="B5" s="2">
        <v>4</v>
      </c>
      <c r="C5" s="2">
        <v>1891</v>
      </c>
      <c r="D5" s="2" t="s">
        <v>9</v>
      </c>
      <c r="E5" s="2" t="s">
        <v>19</v>
      </c>
      <c r="F5" s="2">
        <v>99.5</v>
      </c>
      <c r="G5" s="2">
        <v>73.5</v>
      </c>
      <c r="H5" s="2">
        <v>97.8</v>
      </c>
    </row>
    <row r="6" spans="1:8" x14ac:dyDescent="0.35">
      <c r="A6" s="1" t="s">
        <v>51</v>
      </c>
      <c r="B6" s="2">
        <v>5</v>
      </c>
      <c r="C6" s="2">
        <v>1868</v>
      </c>
      <c r="D6" s="2" t="s">
        <v>36</v>
      </c>
      <c r="E6" s="2" t="s">
        <v>19</v>
      </c>
      <c r="F6" s="2">
        <v>98.9</v>
      </c>
      <c r="G6" s="2">
        <v>70.599999999999994</v>
      </c>
      <c r="H6" s="2">
        <v>91.4</v>
      </c>
    </row>
    <row r="7" spans="1:8" x14ac:dyDescent="0.35">
      <c r="A7" s="1" t="s">
        <v>37</v>
      </c>
      <c r="B7" s="2">
        <v>6</v>
      </c>
      <c r="C7" s="2">
        <v>1636</v>
      </c>
      <c r="D7" s="2" t="s">
        <v>9</v>
      </c>
      <c r="E7" s="2" t="s">
        <v>10</v>
      </c>
      <c r="F7" s="2">
        <v>98.9</v>
      </c>
      <c r="G7" s="2">
        <v>81.400000000000006</v>
      </c>
      <c r="H7" s="2">
        <v>95</v>
      </c>
    </row>
    <row r="8" spans="1:8" x14ac:dyDescent="0.35">
      <c r="A8" s="1" t="s">
        <v>80</v>
      </c>
      <c r="B8" s="2">
        <v>7</v>
      </c>
      <c r="C8" s="2">
        <v>1793</v>
      </c>
      <c r="D8" s="2" t="s">
        <v>9</v>
      </c>
      <c r="E8" s="2" t="s">
        <v>10</v>
      </c>
      <c r="F8" s="2">
        <v>45.2</v>
      </c>
      <c r="G8" s="2">
        <v>8.5</v>
      </c>
      <c r="H8" s="2">
        <v>89.1</v>
      </c>
    </row>
    <row r="9" spans="1:8" x14ac:dyDescent="0.35">
      <c r="A9" s="1" t="s">
        <v>38</v>
      </c>
      <c r="B9" s="2">
        <v>8</v>
      </c>
      <c r="C9" s="2">
        <v>1876</v>
      </c>
      <c r="D9" s="2" t="s">
        <v>9</v>
      </c>
      <c r="E9" s="2" t="s">
        <v>39</v>
      </c>
      <c r="F9" s="2">
        <v>96.3</v>
      </c>
      <c r="G9" s="2">
        <v>94.2</v>
      </c>
      <c r="H9" s="2">
        <v>90.5</v>
      </c>
    </row>
    <row r="10" spans="1:8" x14ac:dyDescent="0.35">
      <c r="A10" s="1" t="s">
        <v>81</v>
      </c>
      <c r="B10" s="2">
        <v>9</v>
      </c>
      <c r="C10" s="2">
        <v>1701</v>
      </c>
      <c r="D10" s="2" t="s">
        <v>9</v>
      </c>
      <c r="E10" s="2" t="s">
        <v>82</v>
      </c>
      <c r="F10" s="2">
        <v>97.2</v>
      </c>
      <c r="G10" s="2">
        <v>72.7</v>
      </c>
      <c r="H10" s="2">
        <v>93.3</v>
      </c>
    </row>
    <row r="11" spans="1:8" x14ac:dyDescent="0.35">
      <c r="A11" s="1" t="s">
        <v>67</v>
      </c>
      <c r="B11" s="2">
        <v>10</v>
      </c>
      <c r="C11" s="2">
        <v>1740</v>
      </c>
      <c r="D11" s="2" t="s">
        <v>9</v>
      </c>
      <c r="E11" s="2" t="s">
        <v>21</v>
      </c>
      <c r="F11" s="2">
        <v>96.1</v>
      </c>
      <c r="G11" s="2">
        <v>76.3</v>
      </c>
      <c r="H11" s="2">
        <v>94.8</v>
      </c>
    </row>
    <row r="12" spans="1:8" x14ac:dyDescent="0.35">
      <c r="A12" s="1" t="s">
        <v>74</v>
      </c>
      <c r="B12" s="2">
        <v>11</v>
      </c>
      <c r="C12" s="2">
        <v>1873</v>
      </c>
      <c r="D12" s="2" t="s">
        <v>9</v>
      </c>
      <c r="E12" s="2" t="s">
        <v>75</v>
      </c>
      <c r="F12" s="2">
        <v>82.1</v>
      </c>
      <c r="G12" s="2">
        <v>15.2</v>
      </c>
      <c r="H12" s="2">
        <v>88.5</v>
      </c>
    </row>
    <row r="13" spans="1:8" x14ac:dyDescent="0.35">
      <c r="A13" s="1" t="s">
        <v>47</v>
      </c>
      <c r="B13" s="2">
        <v>12</v>
      </c>
      <c r="C13" s="2">
        <v>1912</v>
      </c>
      <c r="D13" s="2" t="s">
        <v>9</v>
      </c>
      <c r="E13" s="2" t="s">
        <v>48</v>
      </c>
      <c r="F13" s="2">
        <v>85.4</v>
      </c>
      <c r="G13" s="2">
        <v>25.1</v>
      </c>
      <c r="H13" s="2">
        <v>87.2</v>
      </c>
    </row>
    <row r="14" spans="1:8" x14ac:dyDescent="0.35">
      <c r="A14" s="1" t="s">
        <v>57</v>
      </c>
      <c r="B14" s="2">
        <v>13</v>
      </c>
      <c r="C14" s="2">
        <v>1890</v>
      </c>
      <c r="D14" s="2" t="s">
        <v>9</v>
      </c>
      <c r="E14" s="2" t="s">
        <v>43</v>
      </c>
      <c r="F14" s="2">
        <v>96.8</v>
      </c>
      <c r="G14" s="2">
        <v>92.8</v>
      </c>
      <c r="H14" s="2">
        <v>91.2</v>
      </c>
    </row>
    <row r="15" spans="1:8" x14ac:dyDescent="0.35">
      <c r="A15" s="1" t="s">
        <v>26</v>
      </c>
      <c r="B15" s="2">
        <v>14</v>
      </c>
      <c r="C15" s="2">
        <v>1865</v>
      </c>
      <c r="D15" s="2" t="s">
        <v>9</v>
      </c>
      <c r="E15" s="2" t="s">
        <v>24</v>
      </c>
      <c r="F15" s="2">
        <v>95.9</v>
      </c>
      <c r="G15" s="2">
        <v>75.7</v>
      </c>
      <c r="H15" s="2">
        <v>92.6</v>
      </c>
    </row>
    <row r="16" spans="1:8" x14ac:dyDescent="0.35">
      <c r="A16" s="1" t="s">
        <v>54</v>
      </c>
      <c r="B16" s="2">
        <v>15</v>
      </c>
      <c r="C16" s="2">
        <v>1919</v>
      </c>
      <c r="D16" s="2" t="s">
        <v>36</v>
      </c>
      <c r="E16" s="2" t="s">
        <v>19</v>
      </c>
      <c r="F16" s="2">
        <v>95.6</v>
      </c>
      <c r="G16" s="2">
        <v>69.2</v>
      </c>
      <c r="H16" s="2">
        <v>89.4</v>
      </c>
    </row>
    <row r="17" spans="1:8" x14ac:dyDescent="0.35">
      <c r="A17" s="1" t="s">
        <v>42</v>
      </c>
      <c r="B17" s="2">
        <v>16</v>
      </c>
      <c r="C17" s="2">
        <v>1851</v>
      </c>
      <c r="D17" s="2" t="s">
        <v>9</v>
      </c>
      <c r="E17" s="2" t="s">
        <v>43</v>
      </c>
      <c r="F17" s="2">
        <v>96.9</v>
      </c>
      <c r="G17" s="2">
        <v>71</v>
      </c>
      <c r="H17" s="2">
        <v>90.7</v>
      </c>
    </row>
    <row r="18" spans="1:8" x14ac:dyDescent="0.35">
      <c r="A18" s="1" t="s">
        <v>27</v>
      </c>
      <c r="B18" s="2">
        <v>17</v>
      </c>
      <c r="C18" s="2">
        <v>1769</v>
      </c>
      <c r="D18" s="2" t="s">
        <v>9</v>
      </c>
      <c r="E18" s="2" t="s">
        <v>28</v>
      </c>
      <c r="F18" s="2">
        <v>78.5</v>
      </c>
      <c r="G18" s="2">
        <v>14.8</v>
      </c>
      <c r="H18" s="2">
        <v>91</v>
      </c>
    </row>
    <row r="19" spans="1:8" x14ac:dyDescent="0.35">
      <c r="A19" s="1" t="s">
        <v>16</v>
      </c>
      <c r="B19" s="2">
        <v>18</v>
      </c>
      <c r="C19" s="2">
        <v>1764</v>
      </c>
      <c r="D19" s="2" t="s">
        <v>9</v>
      </c>
      <c r="E19" s="2" t="s">
        <v>17</v>
      </c>
      <c r="F19" s="2">
        <v>88.2</v>
      </c>
      <c r="G19" s="2">
        <v>21.3</v>
      </c>
      <c r="H19" s="2">
        <v>89.9</v>
      </c>
    </row>
    <row r="20" spans="1:8" x14ac:dyDescent="0.35">
      <c r="A20" s="1" t="s">
        <v>8</v>
      </c>
      <c r="B20" s="2">
        <v>19</v>
      </c>
      <c r="C20" s="2">
        <v>1821</v>
      </c>
      <c r="D20" s="2" t="s">
        <v>9</v>
      </c>
      <c r="E20" s="2" t="s">
        <v>10</v>
      </c>
      <c r="F20" s="2">
        <v>38.4</v>
      </c>
      <c r="G20" s="2">
        <v>10.199999999999999</v>
      </c>
      <c r="H20" s="2">
        <v>87.5</v>
      </c>
    </row>
    <row r="21" spans="1:8" x14ac:dyDescent="0.35">
      <c r="A21" s="1" t="s">
        <v>55</v>
      </c>
      <c r="B21" s="2">
        <v>20</v>
      </c>
      <c r="C21" s="2">
        <v>1960</v>
      </c>
      <c r="D21" s="2" t="s">
        <v>36</v>
      </c>
      <c r="E21" s="2" t="s">
        <v>19</v>
      </c>
      <c r="F21" s="2">
        <v>97.1</v>
      </c>
      <c r="G21" s="2">
        <v>71.3</v>
      </c>
      <c r="H21" s="2">
        <v>86.8</v>
      </c>
    </row>
    <row r="22" spans="1:8" x14ac:dyDescent="0.35">
      <c r="A22" s="1" t="s">
        <v>62</v>
      </c>
      <c r="B22" s="2">
        <v>21</v>
      </c>
      <c r="C22" s="2">
        <v>1817</v>
      </c>
      <c r="D22" s="2" t="s">
        <v>36</v>
      </c>
      <c r="E22" s="2" t="s">
        <v>63</v>
      </c>
      <c r="F22" s="2">
        <v>93.8</v>
      </c>
      <c r="G22" s="2">
        <v>65.8</v>
      </c>
      <c r="H22" s="2">
        <v>90.2</v>
      </c>
    </row>
    <row r="23" spans="1:8" x14ac:dyDescent="0.35">
      <c r="A23" s="1" t="s">
        <v>29</v>
      </c>
      <c r="B23" s="2">
        <v>22</v>
      </c>
      <c r="C23" s="2">
        <v>1838</v>
      </c>
      <c r="D23" s="2" t="s">
        <v>9</v>
      </c>
      <c r="E23" s="2" t="s">
        <v>30</v>
      </c>
      <c r="F23" s="2">
        <v>95.4</v>
      </c>
      <c r="G23" s="2">
        <v>74.2</v>
      </c>
      <c r="H23" s="2">
        <v>92.4</v>
      </c>
    </row>
    <row r="24" spans="1:8" x14ac:dyDescent="0.35">
      <c r="A24" s="1" t="s">
        <v>50</v>
      </c>
      <c r="B24" s="2">
        <v>23</v>
      </c>
      <c r="C24" s="2">
        <v>1864</v>
      </c>
      <c r="D24" s="2" t="s">
        <v>9</v>
      </c>
      <c r="E24" s="2" t="s">
        <v>21</v>
      </c>
      <c r="F24" s="2">
        <v>40.1</v>
      </c>
      <c r="G24" s="2">
        <v>12.1</v>
      </c>
      <c r="H24" s="2">
        <v>86.4</v>
      </c>
    </row>
    <row r="25" spans="1:8" x14ac:dyDescent="0.35">
      <c r="A25" s="1" t="s">
        <v>18</v>
      </c>
      <c r="B25" s="2">
        <v>24</v>
      </c>
      <c r="C25" s="2">
        <v>1891</v>
      </c>
      <c r="D25" s="2" t="s">
        <v>9</v>
      </c>
      <c r="E25" s="2" t="s">
        <v>19</v>
      </c>
      <c r="F25" s="2">
        <v>96.8</v>
      </c>
      <c r="G25" s="2">
        <v>90.7</v>
      </c>
      <c r="H25" s="2">
        <v>95.1</v>
      </c>
    </row>
    <row r="26" spans="1:8" x14ac:dyDescent="0.35">
      <c r="A26" s="1" t="s">
        <v>76</v>
      </c>
      <c r="B26" s="2">
        <v>25</v>
      </c>
      <c r="C26" s="2">
        <v>1853</v>
      </c>
      <c r="D26" s="2" t="s">
        <v>9</v>
      </c>
      <c r="E26" s="2" t="s">
        <v>77</v>
      </c>
      <c r="F26" s="2">
        <v>89.2</v>
      </c>
      <c r="G26" s="2">
        <v>22.4</v>
      </c>
      <c r="H26" s="2">
        <v>88.9</v>
      </c>
    </row>
    <row r="27" spans="1:8" x14ac:dyDescent="0.35">
      <c r="A27" s="1" t="s">
        <v>22</v>
      </c>
      <c r="B27" s="2">
        <v>26</v>
      </c>
      <c r="C27" s="2">
        <v>1946</v>
      </c>
      <c r="D27" s="2" t="s">
        <v>9</v>
      </c>
      <c r="E27" s="2" t="s">
        <v>19</v>
      </c>
      <c r="F27" s="2">
        <v>35.200000000000003</v>
      </c>
      <c r="G27" s="2">
        <v>15.6</v>
      </c>
      <c r="H27" s="2">
        <v>93.1</v>
      </c>
    </row>
    <row r="28" spans="1:8" x14ac:dyDescent="0.35">
      <c r="A28" s="1" t="s">
        <v>31</v>
      </c>
      <c r="B28" s="2">
        <v>27</v>
      </c>
      <c r="C28" s="2">
        <v>1836</v>
      </c>
      <c r="D28" s="2" t="s">
        <v>9</v>
      </c>
      <c r="E28" s="2" t="s">
        <v>32</v>
      </c>
      <c r="F28" s="2">
        <v>85.7</v>
      </c>
      <c r="G28" s="2">
        <v>19.8</v>
      </c>
      <c r="H28" s="2">
        <v>87.4</v>
      </c>
    </row>
    <row r="29" spans="1:8" x14ac:dyDescent="0.35">
      <c r="A29" s="1" t="s">
        <v>68</v>
      </c>
      <c r="B29" s="2">
        <v>28</v>
      </c>
      <c r="C29" s="2">
        <v>1880</v>
      </c>
      <c r="D29" s="2" t="s">
        <v>9</v>
      </c>
      <c r="E29" s="2" t="s">
        <v>19</v>
      </c>
      <c r="F29" s="2">
        <v>91.5</v>
      </c>
      <c r="G29" s="2">
        <v>25.4</v>
      </c>
      <c r="H29" s="2">
        <v>89.7</v>
      </c>
    </row>
    <row r="30" spans="1:8" x14ac:dyDescent="0.35">
      <c r="A30" s="1" t="s">
        <v>79</v>
      </c>
      <c r="B30" s="2">
        <v>29</v>
      </c>
      <c r="C30" s="2">
        <v>1870</v>
      </c>
      <c r="D30" s="2" t="s">
        <v>9</v>
      </c>
      <c r="E30" s="2" t="s">
        <v>10</v>
      </c>
      <c r="F30" s="2">
        <v>32.1</v>
      </c>
      <c r="G30" s="2">
        <v>12.5</v>
      </c>
      <c r="H30" s="2">
        <v>85.2</v>
      </c>
    </row>
    <row r="31" spans="1:8" x14ac:dyDescent="0.35">
      <c r="A31" s="1" t="s">
        <v>58</v>
      </c>
      <c r="B31" s="2">
        <v>30</v>
      </c>
      <c r="C31" s="2">
        <v>1853</v>
      </c>
      <c r="D31" s="2" t="s">
        <v>36</v>
      </c>
      <c r="E31" s="2" t="s">
        <v>59</v>
      </c>
      <c r="F31" s="2">
        <v>88.4</v>
      </c>
      <c r="G31" s="2">
        <v>10.199999999999999</v>
      </c>
      <c r="H31" s="2">
        <v>84.1</v>
      </c>
    </row>
    <row r="32" spans="1:8" x14ac:dyDescent="0.35">
      <c r="A32" s="1" t="s">
        <v>53</v>
      </c>
      <c r="B32" s="2">
        <v>31</v>
      </c>
      <c r="C32" s="2">
        <v>1965</v>
      </c>
      <c r="D32" s="2" t="s">
        <v>36</v>
      </c>
      <c r="E32" s="2" t="s">
        <v>19</v>
      </c>
      <c r="F32" s="2">
        <v>89.1</v>
      </c>
      <c r="G32" s="2">
        <v>21.4</v>
      </c>
      <c r="H32" s="2">
        <v>83.5</v>
      </c>
    </row>
    <row r="33" spans="1:8" x14ac:dyDescent="0.35">
      <c r="A33" s="1" t="s">
        <v>35</v>
      </c>
      <c r="B33" s="2">
        <v>32</v>
      </c>
      <c r="C33" s="2">
        <v>1885</v>
      </c>
      <c r="D33" s="2" t="s">
        <v>36</v>
      </c>
      <c r="E33" s="2" t="s">
        <v>32</v>
      </c>
      <c r="F33" s="2">
        <v>90.4</v>
      </c>
      <c r="G33" s="2">
        <v>81.5</v>
      </c>
      <c r="H33" s="2">
        <v>94.2</v>
      </c>
    </row>
    <row r="34" spans="1:8" x14ac:dyDescent="0.35">
      <c r="A34" s="1" t="s">
        <v>65</v>
      </c>
      <c r="B34" s="2">
        <v>33</v>
      </c>
      <c r="C34" s="2">
        <v>1842</v>
      </c>
      <c r="D34" s="2" t="s">
        <v>9</v>
      </c>
      <c r="E34" s="2" t="s">
        <v>66</v>
      </c>
      <c r="F34" s="2">
        <v>82.5</v>
      </c>
      <c r="G34" s="2">
        <v>11.4</v>
      </c>
      <c r="H34" s="2">
        <v>92.8</v>
      </c>
    </row>
    <row r="35" spans="1:8" x14ac:dyDescent="0.35">
      <c r="A35" s="1" t="s">
        <v>70</v>
      </c>
      <c r="B35" s="2">
        <v>34</v>
      </c>
      <c r="C35" s="2">
        <v>1819</v>
      </c>
      <c r="D35" s="2" t="s">
        <v>36</v>
      </c>
      <c r="E35" s="2" t="s">
        <v>71</v>
      </c>
      <c r="F35" s="2">
        <v>87.3</v>
      </c>
      <c r="G35" s="2">
        <v>14.1</v>
      </c>
      <c r="H35" s="2">
        <v>88.6</v>
      </c>
    </row>
    <row r="36" spans="1:8" x14ac:dyDescent="0.35">
      <c r="A36" s="1" t="s">
        <v>64</v>
      </c>
      <c r="B36" s="2">
        <v>35</v>
      </c>
      <c r="C36" s="2">
        <v>1789</v>
      </c>
      <c r="D36" s="2" t="s">
        <v>36</v>
      </c>
      <c r="E36" s="2" t="s">
        <v>30</v>
      </c>
      <c r="F36" s="2">
        <v>92.1</v>
      </c>
      <c r="G36" s="2">
        <v>15.2</v>
      </c>
      <c r="H36" s="2">
        <v>86.4</v>
      </c>
    </row>
    <row r="37" spans="1:8" x14ac:dyDescent="0.35">
      <c r="A37" s="1" t="s">
        <v>44</v>
      </c>
      <c r="B37" s="2">
        <v>36</v>
      </c>
      <c r="C37" s="2">
        <v>1887</v>
      </c>
      <c r="D37" s="2" t="s">
        <v>9</v>
      </c>
      <c r="E37" s="2" t="s">
        <v>19</v>
      </c>
      <c r="F37" s="2">
        <v>34.5</v>
      </c>
      <c r="G37" s="2">
        <v>11.8</v>
      </c>
      <c r="H37" s="2">
        <v>87.9</v>
      </c>
    </row>
    <row r="38" spans="1:8" x14ac:dyDescent="0.35">
      <c r="A38" s="1" t="s">
        <v>61</v>
      </c>
      <c r="B38" s="2">
        <v>37</v>
      </c>
      <c r="C38" s="2">
        <v>1856</v>
      </c>
      <c r="D38" s="2" t="s">
        <v>36</v>
      </c>
      <c r="E38" s="2" t="s">
        <v>39</v>
      </c>
      <c r="F38" s="2">
        <v>86.4</v>
      </c>
      <c r="G38" s="2">
        <v>18.2</v>
      </c>
      <c r="H38" s="2">
        <v>82.1</v>
      </c>
    </row>
    <row r="39" spans="1:8" x14ac:dyDescent="0.35">
      <c r="A39" s="1" t="s">
        <v>60</v>
      </c>
      <c r="B39" s="2">
        <v>38</v>
      </c>
      <c r="C39" s="2">
        <v>1867</v>
      </c>
      <c r="D39" s="2" t="s">
        <v>36</v>
      </c>
      <c r="E39" s="2" t="s">
        <v>43</v>
      </c>
      <c r="F39" s="2">
        <v>85.3</v>
      </c>
      <c r="G39" s="2">
        <v>62.3</v>
      </c>
      <c r="H39" s="2">
        <v>87.5</v>
      </c>
    </row>
    <row r="40" spans="1:8" x14ac:dyDescent="0.35">
      <c r="A40" s="1" t="s">
        <v>12</v>
      </c>
      <c r="B40" s="2">
        <v>39</v>
      </c>
      <c r="C40" s="2">
        <v>1794</v>
      </c>
      <c r="D40" s="2" t="s">
        <v>9</v>
      </c>
      <c r="E40" s="2" t="s">
        <v>13</v>
      </c>
      <c r="F40" s="2">
        <v>30.1</v>
      </c>
      <c r="G40" s="2">
        <v>7.2</v>
      </c>
      <c r="H40" s="2">
        <v>86</v>
      </c>
    </row>
    <row r="41" spans="1:8" x14ac:dyDescent="0.35">
      <c r="A41" s="1" t="s">
        <v>14</v>
      </c>
      <c r="B41" s="2">
        <v>40</v>
      </c>
      <c r="C41" s="2">
        <v>1875</v>
      </c>
      <c r="D41" s="2" t="s">
        <v>9</v>
      </c>
      <c r="E41" s="2" t="s">
        <v>15</v>
      </c>
      <c r="F41" s="2">
        <v>45.2</v>
      </c>
      <c r="G41" s="2">
        <v>5.0999999999999996</v>
      </c>
      <c r="H41" s="2">
        <v>84.4</v>
      </c>
    </row>
    <row r="42" spans="1:8" x14ac:dyDescent="0.35">
      <c r="A42" s="1" t="s">
        <v>33</v>
      </c>
      <c r="B42" s="2">
        <v>41</v>
      </c>
      <c r="C42" s="2">
        <v>1789</v>
      </c>
      <c r="D42" s="2" t="s">
        <v>9</v>
      </c>
      <c r="E42" s="2" t="s">
        <v>34</v>
      </c>
      <c r="F42" s="2">
        <v>78.400000000000006</v>
      </c>
      <c r="G42" s="2">
        <v>18.899999999999999</v>
      </c>
      <c r="H42" s="2">
        <v>90.3</v>
      </c>
    </row>
    <row r="43" spans="1:8" x14ac:dyDescent="0.35">
      <c r="A43" s="1" t="s">
        <v>56</v>
      </c>
      <c r="B43" s="2">
        <v>42</v>
      </c>
      <c r="C43" s="2">
        <v>1909</v>
      </c>
      <c r="D43" s="2" t="s">
        <v>36</v>
      </c>
      <c r="E43" s="2" t="s">
        <v>19</v>
      </c>
      <c r="F43" s="2">
        <v>91.2</v>
      </c>
      <c r="G43" s="2">
        <v>15.4</v>
      </c>
      <c r="H43" s="2">
        <v>81.900000000000006</v>
      </c>
    </row>
    <row r="44" spans="1:8" x14ac:dyDescent="0.35">
      <c r="A44" s="1" t="s">
        <v>20</v>
      </c>
      <c r="B44" s="2">
        <v>43</v>
      </c>
      <c r="C44" s="2">
        <v>1900</v>
      </c>
      <c r="D44" s="2" t="s">
        <v>9</v>
      </c>
      <c r="E44" s="2" t="s">
        <v>21</v>
      </c>
      <c r="F44" s="2">
        <v>99</v>
      </c>
      <c r="G44" s="2">
        <v>84.3</v>
      </c>
      <c r="H44" s="2">
        <v>93.7</v>
      </c>
    </row>
    <row r="45" spans="1:8" x14ac:dyDescent="0.35">
      <c r="A45" s="1" t="s">
        <v>52</v>
      </c>
      <c r="B45" s="2">
        <v>44</v>
      </c>
      <c r="C45" s="2">
        <v>1905</v>
      </c>
      <c r="D45" s="2" t="s">
        <v>36</v>
      </c>
      <c r="E45" s="2" t="s">
        <v>19</v>
      </c>
      <c r="F45" s="2">
        <v>88.7</v>
      </c>
      <c r="G45" s="2">
        <v>49.2</v>
      </c>
      <c r="H45" s="2">
        <v>82.5</v>
      </c>
    </row>
    <row r="46" spans="1:8" x14ac:dyDescent="0.35">
      <c r="A46" s="1" t="s">
        <v>11</v>
      </c>
      <c r="B46" s="2">
        <v>45</v>
      </c>
      <c r="C46" s="2">
        <v>1839</v>
      </c>
      <c r="D46" s="2" t="s">
        <v>9</v>
      </c>
      <c r="E46" s="2" t="s">
        <v>10</v>
      </c>
      <c r="F46" s="2">
        <v>82.1</v>
      </c>
      <c r="G46" s="2">
        <v>74.7</v>
      </c>
      <c r="H46" s="2">
        <v>85.9</v>
      </c>
    </row>
    <row r="47" spans="1:8" x14ac:dyDescent="0.35">
      <c r="A47" s="1" t="s">
        <v>69</v>
      </c>
      <c r="B47" s="2">
        <v>46</v>
      </c>
      <c r="C47" s="2">
        <v>1883</v>
      </c>
      <c r="D47" s="2" t="s">
        <v>36</v>
      </c>
      <c r="E47" s="2" t="s">
        <v>48</v>
      </c>
      <c r="F47" s="2">
        <v>90.1</v>
      </c>
      <c r="G47" s="2">
        <v>46.2</v>
      </c>
      <c r="H47" s="2">
        <v>89.2</v>
      </c>
    </row>
    <row r="48" spans="1:8" x14ac:dyDescent="0.35">
      <c r="A48" s="1" t="s">
        <v>78</v>
      </c>
      <c r="B48" s="2">
        <v>47</v>
      </c>
      <c r="C48" s="2">
        <v>1749</v>
      </c>
      <c r="D48" s="2" t="s">
        <v>9</v>
      </c>
      <c r="E48" s="2" t="s">
        <v>71</v>
      </c>
      <c r="F48" s="2">
        <v>28.5</v>
      </c>
      <c r="G48" s="2">
        <v>4.2</v>
      </c>
      <c r="H48" s="2">
        <v>91.5</v>
      </c>
    </row>
    <row r="49" spans="1:8" x14ac:dyDescent="0.35">
      <c r="A49" s="1" t="s">
        <v>23</v>
      </c>
      <c r="B49" s="2">
        <v>48</v>
      </c>
      <c r="C49" s="2">
        <v>1819</v>
      </c>
      <c r="D49" s="2" t="s">
        <v>9</v>
      </c>
      <c r="E49" s="2" t="s">
        <v>24</v>
      </c>
      <c r="F49" s="2">
        <v>30.2</v>
      </c>
      <c r="G49" s="2">
        <v>8.4</v>
      </c>
      <c r="H49" s="2">
        <v>88.1</v>
      </c>
    </row>
    <row r="50" spans="1:8" x14ac:dyDescent="0.35">
      <c r="A50" s="1" t="s">
        <v>41</v>
      </c>
      <c r="B50" s="2">
        <v>49</v>
      </c>
      <c r="C50" s="2">
        <v>1831</v>
      </c>
      <c r="D50" s="2" t="s">
        <v>9</v>
      </c>
      <c r="E50" s="2" t="s">
        <v>24</v>
      </c>
      <c r="F50" s="2">
        <v>94.3</v>
      </c>
      <c r="G50" s="2">
        <v>74.099999999999994</v>
      </c>
      <c r="H50" s="2">
        <v>87.4</v>
      </c>
    </row>
    <row r="51" spans="1:8" x14ac:dyDescent="0.35">
      <c r="A51" s="1" t="s">
        <v>72</v>
      </c>
      <c r="B51" s="2">
        <v>50</v>
      </c>
      <c r="C51" s="2">
        <v>1861</v>
      </c>
      <c r="D51" s="2" t="s">
        <v>36</v>
      </c>
      <c r="E51" s="2" t="s">
        <v>73</v>
      </c>
      <c r="F51" s="2">
        <v>97.6</v>
      </c>
      <c r="G51" s="2">
        <v>70.099999999999994</v>
      </c>
      <c r="H51" s="2">
        <v>85.3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716E48-952C-4A55-8DA4-7805F5792B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Dashboard</vt:lpstr>
      <vt:lpstr>Cleaned_dataset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dcterms:created xsi:type="dcterms:W3CDTF">2026-06-04T07:50:59Z</dcterms:created>
  <dcterms:modified xsi:type="dcterms:W3CDTF">2026-06-13T04:11:18Z</dcterms:modified>
</cp:coreProperties>
</file>